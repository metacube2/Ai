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name="HERMES Übersicht" sheetId="1" state="visible" r:id="rId1"/>
    <sheet name="Zusammenfassung" sheetId="2" state="visible" r:id="rId2"/>
    <sheet name="Wochen-Todo" sheetId="3" state="visible" r:id="rId3"/>
    <sheet name="Legende" sheetId="4" state="visible" r:id="rId4"/>
    <sheet name="Erläuterungen" sheetId="5" state="visible" r:id="rId5"/>
    <sheet name="Vorlage Projektauftrag" sheetId="6" state="visible" r:id="rId6"/>
    <sheet name="Vorlage Abnahmeprotokoll" sheetId="7" state="visible" r:id="rId7"/>
  </sheets>
  <definedNames>
    <definedName name="_xlnm.Print_Titles" localSheetId="0">'HERMES Übersicht'!$7:$7</definedName>
    <definedName name="_xlnm.Print_Area" localSheetId="0">'HERMES Übersicht'!$A$1:$M$33</definedName>
    <definedName name="_xlnm._FilterDatabase" localSheetId="2" hidden="1">'Wochen-Todo'!$A$1:$M$119</definedName>
    <definedName name="_xlnm.Print_Titles" localSheetId="2">'Wochen-Todo'!$1:$1</definedName>
    <definedName name="_xlnm.Print_Area" localSheetId="2">'Wochen-Todo'!$A$1:$K$40</definedName>
    <definedName name="_xlnm.Print_Titles" localSheetId="4">'Erläuterungen'!$1:$4</definedName>
  </definedNames>
  <calcPr calcId="0" fullCalcOnLoad="1"/>
</workbook>
</file>

<file path=xl/styles.xml><?xml version="1.0" encoding="utf-8"?>
<styleSheet xmlns="http://schemas.openxmlformats.org/spreadsheetml/2006/main">
  <numFmts count="0"/>
  <fonts count="60">
    <font>
      <name val="Calibri"/>
      <family val="2"/>
      <color rgb="FF000000"/>
      <sz val="11"/>
    </font>
    <font>
      <name val="Calibri"/>
      <family val="2"/>
      <b val="1"/>
      <color rgb="FFFFFFFF"/>
      <sz val="11"/>
    </font>
    <font>
      <name val="Calibri"/>
      <family val="2"/>
      <b val="1"/>
      <color rgb="FF000000"/>
      <sz val="11"/>
    </font>
    <font>
      <name val="Calibri"/>
      <family val="2"/>
      <b val="1"/>
      <color rgb="FF9C5700"/>
      <sz val="11"/>
    </font>
    <font>
      <name val="Calibri"/>
      <family val="2"/>
      <b val="1"/>
      <color rgb="FF505050"/>
      <sz val="11"/>
    </font>
    <font>
      <name val="Calibri"/>
      <family val="2"/>
      <i val="1"/>
      <color rgb="FF787878"/>
      <sz val="11"/>
    </font>
    <font>
      <name val="Calibri"/>
      <family val="2"/>
      <b val="1"/>
      <color rgb="FFFFFFFF"/>
      <sz val="16"/>
    </font>
    <font>
      <name val="Calibri"/>
      <family val="2"/>
      <i val="1"/>
      <color rgb="FF365F91"/>
      <sz val="11"/>
    </font>
    <font>
      <name val="Calibri"/>
      <b val="1"/>
      <sz val="11"/>
    </font>
    <font>
      <name val="Segoe UI"/>
      <b val="1"/>
      <color rgb="FFFFFFFF"/>
      <sz val="18"/>
    </font>
    <font>
      <name val="Segoe UI"/>
      <i val="1"/>
      <color rgb="FFFFFFFF"/>
      <sz val="10"/>
    </font>
    <font>
      <name val="Segoe UI"/>
      <b val="1"/>
      <color rgb="FF7F7F7F"/>
      <sz val="9"/>
    </font>
    <font>
      <name val="Segoe UI"/>
      <b val="1"/>
      <color rgb="FF1F3864"/>
      <sz val="22"/>
    </font>
    <font>
      <name val="Segoe UI"/>
      <b val="1"/>
      <color rgb="FF2E8B57"/>
      <sz val="22"/>
    </font>
    <font>
      <name val="Segoe UI"/>
      <b val="1"/>
      <color rgb="FFC9A100"/>
      <sz val="22"/>
    </font>
    <font>
      <name val="Segoe UI"/>
      <b val="1"/>
      <color rgb="FFC00000"/>
      <sz val="22"/>
    </font>
    <font>
      <name val="Segoe UI"/>
      <b val="1"/>
      <color rgb="FFC55A11"/>
      <sz val="22"/>
    </font>
    <font>
      <name val="Segoe UI"/>
      <b val="1"/>
      <color rgb="FFFFFFFF"/>
      <sz val="10"/>
    </font>
    <font>
      <name val="Segoe UI"/>
      <sz val="10"/>
    </font>
    <font>
      <name val="Segoe UI"/>
      <b val="1"/>
      <color rgb="FF1F3864"/>
      <sz val="10"/>
    </font>
    <font>
      <name val="Segoe UI"/>
      <b val="1"/>
      <sz val="10"/>
    </font>
    <font>
      <name val="Segoe UI"/>
      <b val="1"/>
      <color rgb="FFC9A100"/>
      <sz val="11"/>
    </font>
    <font>
      <name val="Segoe UI"/>
      <i val="1"/>
      <color rgb="FFC00000"/>
      <sz val="10"/>
    </font>
    <font>
      <name val="Segoe UI"/>
      <color rgb="FFC00000"/>
      <sz val="10"/>
    </font>
    <font>
      <name val="Segoe UI"/>
      <b val="1"/>
      <color rgb="FFC00000"/>
      <sz val="11"/>
    </font>
    <font>
      <name val="Segoe UI"/>
      <color rgb="FF7F7F7F"/>
      <sz val="10"/>
    </font>
    <font>
      <name val="Segoe UI"/>
      <i val="1"/>
      <color rgb="FF2F5597"/>
      <sz val="10"/>
    </font>
    <font>
      <name val="Segoe UI"/>
      <b val="1"/>
      <color rgb="FF2E8B57"/>
      <sz val="11"/>
    </font>
    <font>
      <name val="Segoe UI"/>
      <b val="1"/>
      <color rgb="FF2E8B57"/>
      <sz val="10"/>
    </font>
    <font>
      <name val="Segoe UI"/>
      <b val="1"/>
      <color rgb="FFFFFFFF"/>
      <sz val="11"/>
    </font>
    <font>
      <name val="Segoe UI"/>
      <b val="1"/>
      <color rgb="FFFFFFFF"/>
      <sz val="16"/>
    </font>
    <font>
      <name val="Segoe UI"/>
      <i val="1"/>
      <color rgb="FF7F7F7F"/>
      <sz val="9"/>
    </font>
    <font>
      <name val="Segoe UI"/>
      <b val="1"/>
      <color rgb="FF2F5597"/>
      <sz val="11"/>
    </font>
    <font>
      <name val="Segoe UI"/>
      <b val="1"/>
      <color rgb="FF7F7F7F"/>
      <sz val="22"/>
    </font>
    <font>
      <name val="Segoe UI"/>
      <b val="1"/>
      <color rgb="FF7F7F7F"/>
      <sz val="11"/>
    </font>
    <font>
      <b val="1"/>
    </font>
    <font>
      <name val="Segoe UI"/>
      <b val="1"/>
      <color rgb="00FFFFFF"/>
      <sz val="18"/>
    </font>
    <font>
      <name val="Segoe UI"/>
      <i val="1"/>
      <color rgb="00FFFFFF"/>
      <sz val="10"/>
    </font>
    <font>
      <name val="Segoe UI"/>
      <b val="1"/>
      <color rgb="007F7F7F"/>
      <sz val="9"/>
    </font>
    <font>
      <name val="Segoe UI"/>
      <b val="1"/>
      <color rgb="001F3864"/>
      <sz val="22"/>
    </font>
    <font>
      <name val="Segoe UI"/>
      <b val="1"/>
      <color rgb="002E8B57"/>
      <sz val="22"/>
    </font>
    <font>
      <name val="Segoe UI"/>
      <b val="1"/>
      <color rgb="00C9A100"/>
      <sz val="22"/>
    </font>
    <font>
      <name val="Segoe UI"/>
      <b val="1"/>
      <color rgb="00C00000"/>
      <sz val="22"/>
    </font>
    <font>
      <name val="Segoe UI"/>
      <b val="1"/>
      <color rgb="007F7F7F"/>
      <sz val="22"/>
    </font>
    <font>
      <name val="Segoe UI"/>
      <b val="1"/>
      <color rgb="00C55A11"/>
      <sz val="22"/>
    </font>
    <font>
      <name val="Segoe UI"/>
      <b val="1"/>
      <color rgb="00FFFFFF"/>
      <sz val="10"/>
    </font>
    <font>
      <name val="Segoe UI"/>
      <b val="1"/>
      <color rgb="001F3864"/>
      <sz val="10"/>
    </font>
    <font>
      <name val="Segoe UI"/>
      <b val="1"/>
      <color rgb="00C9A100"/>
      <sz val="11"/>
    </font>
    <font>
      <name val="Segoe UI"/>
      <i val="1"/>
      <color rgb="00C00000"/>
      <sz val="10"/>
    </font>
    <font>
      <name val="Segoe UI"/>
      <color rgb="00C00000"/>
      <sz val="10"/>
    </font>
    <font>
      <name val="Segoe UI"/>
      <b val="1"/>
      <color rgb="00C00000"/>
      <sz val="11"/>
    </font>
    <font>
      <name val="Segoe UI"/>
      <color rgb="007F7F7F"/>
      <sz val="10"/>
    </font>
    <font>
      <name val="Segoe UI"/>
      <i val="1"/>
      <color rgb="002F5597"/>
      <sz val="10"/>
    </font>
    <font>
      <name val="Segoe UI"/>
      <b val="1"/>
      <color rgb="002E8B57"/>
      <sz val="11"/>
    </font>
    <font>
      <name val="Segoe UI"/>
      <b val="1"/>
      <color rgb="002E8B57"/>
      <sz val="10"/>
    </font>
    <font>
      <name val="Segoe UI"/>
      <b val="1"/>
      <color rgb="007F7F7F"/>
      <sz val="11"/>
    </font>
    <font>
      <name val="Segoe UI"/>
      <b val="1"/>
      <color rgb="00FFFFFF"/>
      <sz val="11"/>
    </font>
    <font>
      <name val="Segoe UI"/>
      <b val="1"/>
      <color rgb="00FFFFFF"/>
      <sz val="16"/>
    </font>
    <font>
      <name val="Segoe UI"/>
      <i val="1"/>
      <color rgb="007F7F7F"/>
      <sz val="9"/>
    </font>
    <font>
      <name val="Segoe UI"/>
      <b val="1"/>
      <color rgb="002F5597"/>
      <sz val="11"/>
    </font>
  </fonts>
  <fills count="45">
    <fill>
      <patternFill/>
    </fill>
    <fill>
      <patternFill patternType="gray125"/>
    </fill>
    <fill>
      <patternFill patternType="solid">
        <fgColor rgb="FF1F3864"/>
      </patternFill>
    </fill>
    <fill>
      <patternFill patternType="solid">
        <fgColor rgb="FFFFE6CC"/>
      </patternFill>
    </fill>
    <fill>
      <patternFill patternType="solid">
        <fgColor rgb="FFC00000"/>
      </patternFill>
    </fill>
    <fill>
      <patternFill patternType="solid">
        <fgColor rgb="FF17365D"/>
      </patternFill>
    </fill>
    <fill>
      <patternFill patternType="solid">
        <fgColor rgb="FFD9EAF7"/>
      </patternFill>
    </fill>
    <fill>
      <patternFill patternType="solid">
        <fgColor rgb="FFF4CCCC"/>
      </patternFill>
    </fill>
    <fill>
      <patternFill patternType="solid">
        <fgColor rgb="FFFFF2CC"/>
      </patternFill>
    </fill>
    <fill>
      <patternFill patternType="solid">
        <fgColor rgb="FFFCE5CD"/>
      </patternFill>
    </fill>
    <fill>
      <patternFill patternType="solid">
        <fgColor rgb="FFD9EAD3"/>
      </patternFill>
    </fill>
    <fill>
      <patternFill patternType="solid">
        <fgColor rgb="FFC6E0B4"/>
      </patternFill>
    </fill>
    <fill>
      <patternFill patternType="solid">
        <fgColor rgb="FFFFE699"/>
      </patternFill>
    </fill>
    <fill>
      <patternFill patternType="solid">
        <fgColor rgb="FFF8CBAD"/>
      </patternFill>
    </fill>
    <fill>
      <patternFill patternType="solid">
        <fgColor rgb="FFE4DFEC"/>
      </patternFill>
    </fill>
    <fill>
      <patternFill patternType="solid">
        <fgColor rgb="FFE2EFDA"/>
      </patternFill>
    </fill>
    <fill>
      <patternFill patternType="solid">
        <fgColor rgb="FFDDEBF7"/>
      </patternFill>
    </fill>
    <fill>
      <patternFill patternType="solid">
        <fgColor rgb="FF1F3864"/>
      </patternFill>
    </fill>
    <fill>
      <patternFill patternType="solid">
        <fgColor rgb="FF2F5597"/>
      </patternFill>
    </fill>
    <fill>
      <patternFill patternType="solid">
        <fgColor rgb="FFD9E1F2"/>
      </patternFill>
    </fill>
    <fill>
      <patternFill patternType="solid">
        <fgColor rgb="FFE2F0D9"/>
      </patternFill>
    </fill>
    <fill>
      <patternFill patternType="solid">
        <fgColor rgb="FFFFF2CC"/>
      </patternFill>
    </fill>
    <fill>
      <patternFill patternType="solid">
        <fgColor rgb="FFFCE4E4"/>
      </patternFill>
    </fill>
    <fill>
      <patternFill patternType="solid">
        <fgColor rgb="FFF2F2F2"/>
      </patternFill>
    </fill>
    <fill>
      <patternFill patternType="solid">
        <fgColor rgb="FFF7F9FC"/>
      </patternFill>
    </fill>
    <fill>
      <patternFill patternType="solid">
        <fgColor rgb="FFFFFFFF"/>
      </patternFill>
    </fill>
    <fill>
      <patternFill patternType="solid">
        <fgColor rgb="FF2E8B57"/>
      </patternFill>
    </fill>
    <fill>
      <patternFill patternType="solid">
        <fgColor rgb="FFEDEDED"/>
      </patternFill>
    </fill>
    <fill>
      <patternFill patternType="solid">
        <fgColor rgb="00C6E0B4"/>
      </patternFill>
    </fill>
    <fill>
      <patternFill patternType="solid">
        <fgColor rgb="00E4DFEC"/>
      </patternFill>
    </fill>
    <fill>
      <patternFill patternType="solid">
        <fgColor rgb="00FFE699"/>
      </patternFill>
    </fill>
    <fill>
      <patternFill patternType="solid">
        <fgColor rgb="00E2EFDA"/>
      </patternFill>
    </fill>
    <fill>
      <patternFill patternType="solid">
        <fgColor rgb="00F8CBAD"/>
      </patternFill>
    </fill>
    <fill>
      <patternFill patternType="solid">
        <fgColor rgb="00DDEBF7"/>
      </patternFill>
    </fill>
    <fill>
      <patternFill patternType="solid">
        <fgColor rgb="001F3864"/>
      </patternFill>
    </fill>
    <fill>
      <patternFill patternType="solid">
        <fgColor rgb="002F5597"/>
      </patternFill>
    </fill>
    <fill>
      <patternFill patternType="solid">
        <fgColor rgb="00D9E1F2"/>
      </patternFill>
    </fill>
    <fill>
      <patternFill patternType="solid">
        <fgColor rgb="00E2F0D9"/>
      </patternFill>
    </fill>
    <fill>
      <patternFill patternType="solid">
        <fgColor rgb="00FFF2CC"/>
      </patternFill>
    </fill>
    <fill>
      <patternFill patternType="solid">
        <fgColor rgb="00FCE4E4"/>
      </patternFill>
    </fill>
    <fill>
      <patternFill patternType="solid">
        <fgColor rgb="00EDEDED"/>
      </patternFill>
    </fill>
    <fill>
      <patternFill patternType="solid">
        <fgColor rgb="00F2F2F2"/>
      </patternFill>
    </fill>
    <fill>
      <patternFill patternType="solid">
        <fgColor rgb="00F7F9FC"/>
      </patternFill>
    </fill>
    <fill>
      <patternFill patternType="solid">
        <fgColor rgb="00FFFFFF"/>
      </patternFill>
    </fill>
    <fill>
      <patternFill patternType="solid">
        <fgColor rgb="002E8B57"/>
      </patternFill>
    </fill>
  </fills>
  <borders count="19">
    <border>
      <left/>
      <right/>
      <top/>
      <bottom/>
      <diagonal/>
    </border>
    <border>
      <left/>
      <right/>
      <top/>
      <bottom style="hair">
        <color rgb="FFD2D2D2"/>
      </bottom>
      <diagonal/>
    </border>
    <border>
      <left/>
      <right/>
      <top/>
      <bottom style="hair">
        <color rgb="FFD3D3D3"/>
      </bottom>
      <diagonal/>
    </border>
    <border>
      <left style="thin">
        <color rgb="FFBFBFBF"/>
      </left>
      <right style="thin">
        <color rgb="FFBFBFBF"/>
      </right>
      <top style="thin">
        <color rgb="FFBFBFBF"/>
      </top>
      <bottom style="thin">
        <color rgb="FFBFBFBF"/>
      </bottom>
      <diagonal/>
    </border>
    <border>
      <left/>
      <right/>
      <top/>
      <bottom style="medium">
        <color rgb="FF2F5597"/>
      </bottom>
      <diagonal/>
    </border>
    <border>
      <left/>
      <right/>
      <top/>
      <bottom style="medium">
        <color rgb="FF2E8B57"/>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00BFBFBF"/>
      </left>
      <right style="thin">
        <color rgb="00BFBFBF"/>
      </right>
      <top style="thin">
        <color rgb="00BFBFBF"/>
      </top>
      <bottom style="thin">
        <color rgb="00BFBFBF"/>
      </bottom>
    </border>
    <border>
      <bottom style="medium">
        <color rgb="002F5597"/>
      </bottom>
    </border>
    <border>
      <bottom style="medium">
        <color rgb="002E8B57"/>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bottom style="medium">
        <color rgb="002F5597"/>
      </bottom>
      <diagonal/>
    </border>
    <border>
      <left/>
      <right/>
      <top style="thin">
        <color rgb="00BFBFBF"/>
      </top>
      <bottom style="thin">
        <color rgb="00BFBFBF"/>
      </bottom>
      <diagonal/>
    </border>
    <border>
      <left/>
      <right/>
      <top/>
      <bottom style="medium">
        <color rgb="002E8B57"/>
      </bottom>
      <diagonal/>
    </border>
  </borders>
  <cellStyleXfs count="1">
    <xf numFmtId="0" fontId="0" fillId="0" borderId="0"/>
  </cellStyleXfs>
  <cellXfs count="168">
    <xf numFmtId="0" fontId="0" fillId="0" borderId="0" pivotButton="0" quotePrefix="0" xfId="0"/>
    <xf numFmtId="0" fontId="1" fillId="4" borderId="1" applyAlignment="1" pivotButton="0" quotePrefix="0" xfId="0">
      <alignment vertical="top"/>
    </xf>
    <xf numFmtId="0" fontId="0" fillId="0" borderId="1" applyAlignment="1" pivotButton="0" quotePrefix="0" xfId="0">
      <alignment vertical="top" wrapText="1"/>
    </xf>
    <xf numFmtId="0" fontId="3" fillId="3" borderId="1" applyAlignment="1" pivotButton="0" quotePrefix="0" xfId="0">
      <alignment vertical="top"/>
    </xf>
    <xf numFmtId="0" fontId="1" fillId="2" borderId="0" applyAlignment="1" pivotButton="0" quotePrefix="0" xfId="0">
      <alignment vertical="center"/>
    </xf>
    <xf numFmtId="0" fontId="4" fillId="0" borderId="1" applyAlignment="1" pivotButton="0" quotePrefix="0" xfId="0">
      <alignment vertical="top"/>
    </xf>
    <xf numFmtId="9" fontId="0" fillId="0" borderId="1" applyAlignment="1" pivotButton="0" quotePrefix="0" xfId="0">
      <alignment horizontal="center" vertical="top"/>
    </xf>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xf numFmtId="0" fontId="2" fillId="0" borderId="0" applyAlignment="1" pivotButton="0" quotePrefix="0" xfId="0">
      <alignment vertical="top"/>
    </xf>
    <xf numFmtId="0" fontId="0" fillId="0" borderId="0" applyAlignment="1" pivotButton="0" quotePrefix="0" xfId="0">
      <alignment vertical="top"/>
    </xf>
    <xf numFmtId="0" fontId="0" fillId="0" borderId="2" applyAlignment="1" pivotButton="0" quotePrefix="0" xfId="0">
      <alignment horizontal="left" vertical="top" wrapText="1"/>
    </xf>
    <xf numFmtId="0" fontId="2" fillId="7" borderId="2" applyAlignment="1" pivotButton="0" quotePrefix="0" xfId="0">
      <alignment horizontal="left" vertical="top" wrapText="1"/>
    </xf>
    <xf numFmtId="0" fontId="2" fillId="8" borderId="2" applyAlignment="1" pivotButton="0" quotePrefix="0" xfId="0">
      <alignment horizontal="left" vertical="top" wrapText="1"/>
    </xf>
    <xf numFmtId="0" fontId="2" fillId="9" borderId="2" applyAlignment="1" pivotButton="0" quotePrefix="0" xfId="0">
      <alignment horizontal="left" vertical="top" wrapText="1"/>
    </xf>
    <xf numFmtId="0" fontId="2" fillId="10" borderId="2" applyAlignment="1" pivotButton="0" quotePrefix="0" xfId="0">
      <alignment horizontal="left" vertical="top" wrapText="1"/>
    </xf>
    <xf numFmtId="0" fontId="8" fillId="0" borderId="0" applyAlignment="1" pivotButton="0" quotePrefix="0" xfId="0">
      <alignment vertical="top"/>
    </xf>
    <xf numFmtId="0" fontId="0" fillId="11"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xf numFmtId="0" fontId="11" fillId="23" borderId="3" applyAlignment="1" pivotButton="0" quotePrefix="0" xfId="0">
      <alignment horizontal="center"/>
    </xf>
    <xf numFmtId="0" fontId="16" fillId="23" borderId="3" applyAlignment="1" pivotButton="0" quotePrefix="0" xfId="0">
      <alignment horizontal="center" vertical="center"/>
    </xf>
    <xf numFmtId="0" fontId="17" fillId="17" borderId="3" applyAlignment="1" pivotButton="0" quotePrefix="0" xfId="0">
      <alignment horizontal="center" vertical="center" wrapText="1"/>
    </xf>
    <xf numFmtId="0" fontId="19" fillId="24" borderId="3" applyAlignment="1" pivotButton="0" quotePrefix="0" xfId="0">
      <alignment vertical="center" wrapText="1"/>
    </xf>
    <xf numFmtId="0" fontId="20" fillId="24" borderId="3" applyAlignment="1" pivotButton="0" quotePrefix="0" xfId="0">
      <alignment vertical="center" wrapText="1"/>
    </xf>
    <xf numFmtId="0" fontId="18" fillId="16" borderId="3" applyAlignment="1" pivotButton="0" quotePrefix="0" xfId="0">
      <alignment horizontal="center" vertical="center"/>
    </xf>
    <xf numFmtId="0" fontId="21" fillId="21" borderId="3" applyAlignment="1" pivotButton="0" quotePrefix="0" xfId="0">
      <alignment horizontal="center" vertical="center"/>
    </xf>
    <xf numFmtId="0" fontId="22" fillId="24" borderId="3" applyAlignment="1" pivotButton="0" quotePrefix="0" xfId="0">
      <alignment vertical="center" wrapText="1"/>
    </xf>
    <xf numFmtId="0" fontId="23" fillId="24" borderId="3" applyAlignment="1" pivotButton="0" quotePrefix="0" xfId="0">
      <alignment horizontal="center" vertical="center"/>
    </xf>
    <xf numFmtId="0" fontId="18" fillId="24" borderId="3" applyAlignment="1" pivotButton="0" quotePrefix="0" xfId="0">
      <alignment horizontal="center" vertical="center"/>
    </xf>
    <xf numFmtId="0" fontId="18" fillId="24" borderId="3" applyAlignment="1" pivotButton="0" quotePrefix="0" xfId="0">
      <alignment vertical="center" wrapText="1"/>
    </xf>
    <xf numFmtId="0" fontId="19" fillId="25" borderId="3" applyAlignment="1" pivotButton="0" quotePrefix="0" xfId="0">
      <alignment vertical="center" wrapText="1"/>
    </xf>
    <xf numFmtId="0" fontId="20" fillId="25" borderId="3" applyAlignment="1" pivotButton="0" quotePrefix="0" xfId="0">
      <alignment vertical="center" wrapText="1"/>
    </xf>
    <xf numFmtId="0" fontId="18" fillId="15" borderId="3" applyAlignment="1" pivotButton="0" quotePrefix="0" xfId="0">
      <alignment horizontal="center" vertical="center"/>
    </xf>
    <xf numFmtId="0" fontId="24" fillId="22" borderId="3" applyAlignment="1" pivotButton="0" quotePrefix="0" xfId="0">
      <alignment horizontal="center" vertical="center"/>
    </xf>
    <xf numFmtId="0" fontId="22" fillId="25" borderId="3" applyAlignment="1" pivotButton="0" quotePrefix="0" xfId="0">
      <alignment vertical="center" wrapText="1"/>
    </xf>
    <xf numFmtId="0" fontId="25" fillId="25" borderId="3" applyAlignment="1" pivotButton="0" quotePrefix="0" xfId="0">
      <alignment horizontal="center" vertical="center"/>
    </xf>
    <xf numFmtId="0" fontId="18" fillId="25" borderId="3" applyAlignment="1" pivotButton="0" quotePrefix="0" xfId="0">
      <alignment horizontal="center" vertical="center"/>
    </xf>
    <xf numFmtId="0" fontId="18" fillId="25" borderId="3" applyAlignment="1" pivotButton="0" quotePrefix="0" xfId="0">
      <alignment vertical="center" wrapText="1"/>
    </xf>
    <xf numFmtId="0" fontId="26" fillId="24" borderId="3" applyAlignment="1" pivotButton="0" quotePrefix="0" xfId="0">
      <alignment vertical="center" wrapText="1"/>
    </xf>
    <xf numFmtId="0" fontId="18" fillId="14" borderId="3" applyAlignment="1" pivotButton="0" quotePrefix="0" xfId="0">
      <alignment horizontal="center" vertical="center"/>
    </xf>
    <xf numFmtId="0" fontId="27" fillId="20" borderId="3" applyAlignment="1" pivotButton="0" quotePrefix="0" xfId="0">
      <alignment horizontal="center" vertical="center"/>
    </xf>
    <xf numFmtId="0" fontId="26" fillId="25" borderId="3" applyAlignment="1" pivotButton="0" quotePrefix="0" xfId="0">
      <alignment vertical="center" wrapText="1"/>
    </xf>
    <xf numFmtId="0" fontId="23" fillId="25" borderId="3" applyAlignment="1" pivotButton="0" quotePrefix="0" xfId="0">
      <alignment horizontal="center" vertical="center"/>
    </xf>
    <xf numFmtId="0" fontId="28" fillId="25" borderId="3" applyAlignment="1" pivotButton="0" quotePrefix="0" xfId="0">
      <alignment horizontal="center" vertical="center"/>
    </xf>
    <xf numFmtId="0" fontId="20" fillId="19" borderId="3" applyAlignment="1" pivotButton="0" quotePrefix="0" xfId="0">
      <alignment vertical="center" wrapText="1"/>
    </xf>
    <xf numFmtId="0" fontId="18" fillId="15" borderId="3" applyAlignment="1" pivotButton="0" quotePrefix="0" xfId="0">
      <alignment vertical="center" wrapText="1"/>
    </xf>
    <xf numFmtId="0" fontId="18" fillId="0" borderId="3" applyAlignment="1" pivotButton="0" quotePrefix="0" xfId="0">
      <alignment vertical="center" wrapText="1"/>
    </xf>
    <xf numFmtId="0" fontId="18" fillId="16" borderId="3" applyAlignment="1" pivotButton="0" quotePrefix="0" xfId="0">
      <alignment vertical="center" wrapText="1"/>
    </xf>
    <xf numFmtId="0" fontId="18" fillId="14" borderId="3" applyAlignment="1" pivotButton="0" quotePrefix="0" xfId="0">
      <alignment vertical="center" wrapText="1"/>
    </xf>
    <xf numFmtId="0" fontId="19" fillId="0" borderId="0" applyAlignment="1" pivotButton="0" quotePrefix="0" xfId="0">
      <alignment vertical="top"/>
    </xf>
    <xf numFmtId="0" fontId="0" fillId="14"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20" fillId="23" borderId="3" applyAlignment="1" pivotButton="0" quotePrefix="0" xfId="0">
      <alignment vertical="top" wrapText="1"/>
    </xf>
    <xf numFmtId="0" fontId="0" fillId="0" borderId="3" pivotButton="0" quotePrefix="0" xfId="0"/>
    <xf numFmtId="0" fontId="20" fillId="19" borderId="3" applyAlignment="1" pivotButton="0" quotePrefix="0" xfId="0">
      <alignment horizontal="center" wrapText="1"/>
    </xf>
    <xf numFmtId="0" fontId="34" fillId="27" borderId="3" applyAlignment="1" pivotButton="0" quotePrefix="0" xfId="0">
      <alignment horizontal="center" vertical="center"/>
    </xf>
    <xf numFmtId="0" fontId="25" fillId="24" borderId="3" applyAlignment="1" pivotButton="0" quotePrefix="0" xfId="0">
      <alignment horizontal="center" vertical="center"/>
    </xf>
    <xf numFmtId="0" fontId="28" fillId="24" borderId="3" applyAlignment="1" pivotButton="0" quotePrefix="0" xfId="0">
      <alignment horizontal="center" vertical="center"/>
    </xf>
    <xf numFmtId="0" fontId="18" fillId="0" borderId="0" applyAlignment="1" pivotButton="0" quotePrefix="0" xfId="0">
      <alignment vertical="top" wrapText="1"/>
    </xf>
    <xf numFmtId="0" fontId="0" fillId="0" borderId="0" pivotButton="0" quotePrefix="0" xfId="0"/>
    <xf numFmtId="0" fontId="13" fillId="20" borderId="3" applyAlignment="1" pivotButton="0" quotePrefix="0" xfId="0">
      <alignment horizontal="center" vertical="center"/>
    </xf>
    <xf numFmtId="0" fontId="0" fillId="20" borderId="3" pivotButton="0" quotePrefix="0" xfId="0"/>
    <xf numFmtId="0" fontId="14" fillId="21" borderId="3" applyAlignment="1" pivotButton="0" quotePrefix="0" xfId="0">
      <alignment horizontal="center" vertical="center"/>
    </xf>
    <xf numFmtId="0" fontId="0" fillId="21" borderId="3" pivotButton="0" quotePrefix="0" xfId="0"/>
    <xf numFmtId="0" fontId="15" fillId="23" borderId="3" applyAlignment="1" pivotButton="0" quotePrefix="0" xfId="0">
      <alignment horizontal="center" vertical="center"/>
    </xf>
    <xf numFmtId="0" fontId="0" fillId="23" borderId="3" pivotButton="0" quotePrefix="0" xfId="0"/>
    <xf numFmtId="0" fontId="11" fillId="20" borderId="3" applyAlignment="1" pivotButton="0" quotePrefix="0" xfId="0">
      <alignment horizontal="center"/>
    </xf>
    <xf numFmtId="0" fontId="11" fillId="21" borderId="3" applyAlignment="1" pivotButton="0" quotePrefix="0" xfId="0">
      <alignment horizontal="center"/>
    </xf>
    <xf numFmtId="0" fontId="9" fillId="17" borderId="0" applyAlignment="1" pivotButton="0" quotePrefix="0" xfId="0">
      <alignment vertical="center" indent="1"/>
    </xf>
    <xf numFmtId="0" fontId="12" fillId="19" borderId="3" applyAlignment="1" pivotButton="0" quotePrefix="0" xfId="0">
      <alignment horizontal="center" vertical="center"/>
    </xf>
    <xf numFmtId="0" fontId="0" fillId="19" borderId="3" pivotButton="0" quotePrefix="0" xfId="0"/>
    <xf numFmtId="0" fontId="15" fillId="22" borderId="3" applyAlignment="1" pivotButton="0" quotePrefix="0" xfId="0">
      <alignment horizontal="center" vertical="center"/>
    </xf>
    <xf numFmtId="0" fontId="0" fillId="22" borderId="3" pivotButton="0" quotePrefix="0" xfId="0"/>
    <xf numFmtId="0" fontId="33" fillId="27" borderId="3" applyAlignment="1" pivotButton="0" quotePrefix="0" xfId="0">
      <alignment horizontal="center" vertical="center"/>
    </xf>
    <xf numFmtId="0" fontId="0" fillId="27" borderId="3" pivotButton="0" quotePrefix="0" xfId="0"/>
    <xf numFmtId="0" fontId="11" fillId="19" borderId="3" applyAlignment="1" pivotButton="0" quotePrefix="0" xfId="0">
      <alignment horizontal="center"/>
    </xf>
    <xf numFmtId="0" fontId="11" fillId="22" borderId="3" applyAlignment="1" pivotButton="0" quotePrefix="0" xfId="0">
      <alignment horizontal="center"/>
    </xf>
    <xf numFmtId="0" fontId="11" fillId="27" borderId="3" applyAlignment="1" pivotButton="0" quotePrefix="0" xfId="0">
      <alignment horizontal="center"/>
    </xf>
    <xf numFmtId="0" fontId="29" fillId="17" borderId="0" applyAlignment="1" pivotButton="0" quotePrefix="0" xfId="0">
      <alignment indent="1"/>
    </xf>
    <xf numFmtId="0" fontId="11" fillId="23" borderId="3" applyAlignment="1" pivotButton="0" quotePrefix="0" xfId="0">
      <alignment horizontal="center"/>
    </xf>
    <xf numFmtId="0" fontId="10" fillId="18" borderId="0" applyAlignment="1" pivotButton="0" quotePrefix="0" xfId="0">
      <alignment vertical="center" indent="1"/>
    </xf>
    <xf numFmtId="0" fontId="5" fillId="0" borderId="0" pivotButton="0" quotePrefix="0" xfId="0"/>
    <xf numFmtId="0" fontId="6" fillId="5" borderId="0" applyAlignment="1" pivotButton="0" quotePrefix="0" xfId="0">
      <alignment vertical="center"/>
    </xf>
    <xf numFmtId="0" fontId="7" fillId="6" borderId="0" pivotButton="0" quotePrefix="0" xfId="0"/>
    <xf numFmtId="0" fontId="32" fillId="0" borderId="4" pivotButton="0" quotePrefix="0" xfId="0"/>
    <xf numFmtId="0" fontId="0" fillId="0" borderId="4" pivotButton="0" quotePrefix="0" xfId="0"/>
    <xf numFmtId="0" fontId="0" fillId="0" borderId="3" applyAlignment="1" pivotButton="0" quotePrefix="0" xfId="0">
      <alignment vertical="top" wrapText="1"/>
    </xf>
    <xf numFmtId="0" fontId="0" fillId="0" borderId="3" pivotButton="0" quotePrefix="0" xfId="0"/>
    <xf numFmtId="0" fontId="30" fillId="18" borderId="0" applyAlignment="1" pivotButton="0" quotePrefix="0" xfId="0">
      <alignment vertical="center" indent="1"/>
    </xf>
    <xf numFmtId="0" fontId="31" fillId="0" borderId="0" applyAlignment="1" pivotButton="0" quotePrefix="0" xfId="0">
      <alignment wrapText="1" indent="1"/>
    </xf>
    <xf numFmtId="0" fontId="27" fillId="0" borderId="5" pivotButton="0" quotePrefix="0" xfId="0"/>
    <xf numFmtId="0" fontId="0" fillId="0" borderId="5" pivotButton="0" quotePrefix="0" xfId="0"/>
    <xf numFmtId="0" fontId="30" fillId="26" borderId="0" applyAlignment="1" pivotButton="0" quotePrefix="0" xfId="0">
      <alignment vertical="center" indent="1"/>
    </xf>
    <xf numFmtId="0" fontId="36" fillId="34" borderId="0" applyAlignment="1" pivotButton="0" quotePrefix="0" xfId="0">
      <alignment vertical="center" indent="1"/>
    </xf>
    <xf numFmtId="0" fontId="37" fillId="35" borderId="0" applyAlignment="1" pivotButton="0" quotePrefix="0" xfId="0">
      <alignment vertical="center" indent="1"/>
    </xf>
    <xf numFmtId="0" fontId="38" fillId="36" borderId="10" applyAlignment="1" pivotButton="0" quotePrefix="0" xfId="0">
      <alignment horizontal="center" vertical="bottom"/>
    </xf>
    <xf numFmtId="0" fontId="0" fillId="36" borderId="10" pivotButton="0" quotePrefix="0" xfId="0"/>
    <xf numFmtId="0" fontId="38" fillId="37" borderId="10" applyAlignment="1" pivotButton="0" quotePrefix="0" xfId="0">
      <alignment horizontal="center" vertical="bottom"/>
    </xf>
    <xf numFmtId="0" fontId="0" fillId="37" borderId="10" pivotButton="0" quotePrefix="0" xfId="0"/>
    <xf numFmtId="0" fontId="38" fillId="38" borderId="10" applyAlignment="1" pivotButton="0" quotePrefix="0" xfId="0">
      <alignment horizontal="center" vertical="bottom"/>
    </xf>
    <xf numFmtId="0" fontId="0" fillId="38" borderId="10" pivotButton="0" quotePrefix="0" xfId="0"/>
    <xf numFmtId="0" fontId="38" fillId="39" borderId="10" applyAlignment="1" pivotButton="0" quotePrefix="0" xfId="0">
      <alignment horizontal="center" vertical="bottom"/>
    </xf>
    <xf numFmtId="0" fontId="0" fillId="39" borderId="10" pivotButton="0" quotePrefix="0" xfId="0"/>
    <xf numFmtId="0" fontId="38" fillId="40" borderId="10" applyAlignment="1" pivotButton="0" quotePrefix="0" xfId="0">
      <alignment horizontal="center" vertical="bottom"/>
    </xf>
    <xf numFmtId="0" fontId="0" fillId="40" borderId="10" pivotButton="0" quotePrefix="0" xfId="0"/>
    <xf numFmtId="0" fontId="38" fillId="41" borderId="10" applyAlignment="1" pivotButton="0" quotePrefix="0" xfId="0">
      <alignment horizontal="center" vertical="bottom"/>
    </xf>
    <xf numFmtId="0" fontId="0" fillId="41" borderId="10" pivotButton="0" quotePrefix="0" xfId="0"/>
    <xf numFmtId="0" fontId="39" fillId="36" borderId="10" applyAlignment="1" pivotButton="0" quotePrefix="0" xfId="0">
      <alignment horizontal="center" vertical="center"/>
    </xf>
    <xf numFmtId="0" fontId="40" fillId="37" borderId="10" applyAlignment="1" pivotButton="0" quotePrefix="0" xfId="0">
      <alignment horizontal="center" vertical="center"/>
    </xf>
    <xf numFmtId="0" fontId="41" fillId="38" borderId="10" applyAlignment="1" pivotButton="0" quotePrefix="0" xfId="0">
      <alignment horizontal="center" vertical="center"/>
    </xf>
    <xf numFmtId="0" fontId="42" fillId="39" borderId="10" applyAlignment="1" pivotButton="0" quotePrefix="0" xfId="0">
      <alignment horizontal="center" vertical="center"/>
    </xf>
    <xf numFmtId="0" fontId="43" fillId="40" borderId="10" applyAlignment="1" pivotButton="0" quotePrefix="0" xfId="0">
      <alignment horizontal="center" vertical="center"/>
    </xf>
    <xf numFmtId="0" fontId="42" fillId="41" borderId="10" applyAlignment="1" pivotButton="0" quotePrefix="0" xfId="0">
      <alignment horizontal="center" vertical="center"/>
    </xf>
    <xf numFmtId="0" fontId="44" fillId="41" borderId="10" applyAlignment="1" pivotButton="0" quotePrefix="0" xfId="0">
      <alignment horizontal="center" vertical="center"/>
    </xf>
    <xf numFmtId="0" fontId="45" fillId="34" borderId="10" applyAlignment="1" pivotButton="0" quotePrefix="0" xfId="0">
      <alignment horizontal="center" vertical="center" wrapText="1"/>
    </xf>
    <xf numFmtId="0" fontId="46" fillId="42" borderId="10" applyAlignment="1" pivotButton="0" quotePrefix="0" xfId="0">
      <alignment vertical="center" wrapText="1"/>
    </xf>
    <xf numFmtId="0" fontId="20" fillId="42" borderId="10" applyAlignment="1" pivotButton="0" quotePrefix="0" xfId="0">
      <alignment vertical="center" wrapText="1"/>
    </xf>
    <xf numFmtId="0" fontId="18" fillId="33" borderId="10" applyAlignment="1" pivotButton="0" quotePrefix="0" xfId="0">
      <alignment horizontal="center" vertical="center"/>
    </xf>
    <xf numFmtId="0" fontId="47" fillId="38" borderId="10" applyAlignment="1" pivotButton="0" quotePrefix="0" xfId="0">
      <alignment horizontal="center" vertical="center"/>
    </xf>
    <xf numFmtId="0" fontId="48" fillId="42" borderId="10" applyAlignment="1" pivotButton="0" quotePrefix="0" xfId="0">
      <alignment vertical="center" wrapText="1"/>
    </xf>
    <xf numFmtId="0" fontId="49" fillId="42" borderId="10" applyAlignment="1" pivotButton="0" quotePrefix="0" xfId="0">
      <alignment horizontal="center" vertical="center"/>
    </xf>
    <xf numFmtId="0" fontId="18" fillId="42" borderId="10" applyAlignment="1" pivotButton="0" quotePrefix="0" xfId="0">
      <alignment horizontal="center" vertical="center"/>
    </xf>
    <xf numFmtId="0" fontId="18" fillId="42" borderId="10" applyAlignment="1" pivotButton="0" quotePrefix="0" xfId="0">
      <alignment vertical="center" wrapText="1"/>
    </xf>
    <xf numFmtId="0" fontId="46" fillId="43" borderId="10" applyAlignment="1" pivotButton="0" quotePrefix="0" xfId="0">
      <alignment vertical="center" wrapText="1"/>
    </xf>
    <xf numFmtId="0" fontId="20" fillId="43" borderId="10" applyAlignment="1" pivotButton="0" quotePrefix="0" xfId="0">
      <alignment vertical="center" wrapText="1"/>
    </xf>
    <xf numFmtId="0" fontId="18" fillId="31" borderId="10" applyAlignment="1" pivotButton="0" quotePrefix="0" xfId="0">
      <alignment horizontal="center" vertical="center"/>
    </xf>
    <xf numFmtId="0" fontId="50" fillId="39" borderId="10" applyAlignment="1" pivotButton="0" quotePrefix="0" xfId="0">
      <alignment horizontal="center" vertical="center"/>
    </xf>
    <xf numFmtId="0" fontId="48" fillId="43" borderId="10" applyAlignment="1" pivotButton="0" quotePrefix="0" xfId="0">
      <alignment vertical="center" wrapText="1"/>
    </xf>
    <xf numFmtId="0" fontId="51" fillId="43" borderId="10" applyAlignment="1" pivotButton="0" quotePrefix="0" xfId="0">
      <alignment horizontal="center" vertical="center"/>
    </xf>
    <xf numFmtId="0" fontId="18" fillId="43" borderId="10" applyAlignment="1" pivotButton="0" quotePrefix="0" xfId="0">
      <alignment horizontal="center" vertical="center"/>
    </xf>
    <xf numFmtId="0" fontId="18" fillId="43" borderId="10" applyAlignment="1" pivotButton="0" quotePrefix="0" xfId="0">
      <alignment vertical="center" wrapText="1"/>
    </xf>
    <xf numFmtId="0" fontId="52" fillId="42" borderId="10" applyAlignment="1" pivotButton="0" quotePrefix="0" xfId="0">
      <alignment vertical="center" wrapText="1"/>
    </xf>
    <xf numFmtId="0" fontId="18" fillId="29" borderId="10" applyAlignment="1" pivotButton="0" quotePrefix="0" xfId="0">
      <alignment horizontal="center" vertical="center"/>
    </xf>
    <xf numFmtId="0" fontId="53" fillId="37" borderId="10" applyAlignment="1" pivotButton="0" quotePrefix="0" xfId="0">
      <alignment horizontal="center" vertical="center"/>
    </xf>
    <xf numFmtId="0" fontId="52" fillId="43" borderId="10" applyAlignment="1" pivotButton="0" quotePrefix="0" xfId="0">
      <alignment vertical="center" wrapText="1"/>
    </xf>
    <xf numFmtId="0" fontId="49" fillId="43" borderId="10" applyAlignment="1" pivotButton="0" quotePrefix="0" xfId="0">
      <alignment horizontal="center" vertical="center"/>
    </xf>
    <xf numFmtId="0" fontId="54" fillId="43" borderId="10" applyAlignment="1" pivotButton="0" quotePrefix="0" xfId="0">
      <alignment horizontal="center" vertical="center"/>
    </xf>
    <xf numFmtId="0" fontId="55" fillId="40" borderId="10" applyAlignment="1" pivotButton="0" quotePrefix="0" xfId="0">
      <alignment horizontal="center" vertical="center"/>
    </xf>
    <xf numFmtId="0" fontId="51" fillId="42" borderId="10" applyAlignment="1" pivotButton="0" quotePrefix="0" xfId="0">
      <alignment horizontal="center" vertical="center"/>
    </xf>
    <xf numFmtId="0" fontId="54" fillId="42" borderId="10" applyAlignment="1" pivotButton="0" quotePrefix="0" xfId="0">
      <alignment horizontal="center" vertical="center"/>
    </xf>
    <xf numFmtId="0" fontId="56" fillId="34" borderId="0" applyAlignment="1" pivotButton="0" quotePrefix="0" xfId="0">
      <alignment indent="1"/>
    </xf>
    <xf numFmtId="0" fontId="20" fillId="36" borderId="10" applyAlignment="1" pivotButton="0" quotePrefix="0" xfId="0">
      <alignment vertical="center" wrapText="1"/>
    </xf>
    <xf numFmtId="0" fontId="18" fillId="31" borderId="10" applyAlignment="1" pivotButton="0" quotePrefix="0" xfId="0">
      <alignment vertical="center" wrapText="1"/>
    </xf>
    <xf numFmtId="0" fontId="18" fillId="0" borderId="10" applyAlignment="1" pivotButton="0" quotePrefix="0" xfId="0">
      <alignment vertical="center" wrapText="1"/>
    </xf>
    <xf numFmtId="0" fontId="18" fillId="33" borderId="10" applyAlignment="1" pivotButton="0" quotePrefix="0" xfId="0">
      <alignment vertical="center" wrapText="1"/>
    </xf>
    <xf numFmtId="0" fontId="18" fillId="29" borderId="10" applyAlignment="1" pivotButton="0" quotePrefix="0" xfId="0">
      <alignment vertical="center" wrapText="1"/>
    </xf>
    <xf numFmtId="0" fontId="46" fillId="0" borderId="0" applyAlignment="1" pivotButton="0" quotePrefix="0" xfId="0">
      <alignment vertical="top"/>
    </xf>
    <xf numFmtId="0" fontId="35" fillId="0" borderId="0" applyAlignment="1" pivotButton="0" quotePrefix="0" xfId="0">
      <alignment vertical="top"/>
    </xf>
    <xf numFmtId="0" fontId="0" fillId="28" borderId="0" applyAlignment="1" pivotButton="0" quotePrefix="0" xfId="0">
      <alignment vertical="top" wrapText="1"/>
    </xf>
    <xf numFmtId="0" fontId="0" fillId="29" borderId="0" applyAlignment="1" pivotButton="0" quotePrefix="0" xfId="0">
      <alignment vertical="top" wrapText="1"/>
    </xf>
    <xf numFmtId="0" fontId="0" fillId="30" borderId="0" applyAlignment="1" pivotButton="0" quotePrefix="0" xfId="0">
      <alignment vertical="top" wrapText="1"/>
    </xf>
    <xf numFmtId="0" fontId="0" fillId="31" borderId="0" applyAlignment="1" pivotButton="0" quotePrefix="0" xfId="0">
      <alignment vertical="top" wrapText="1"/>
    </xf>
    <xf numFmtId="0" fontId="0" fillId="32" borderId="0" applyAlignment="1" pivotButton="0" quotePrefix="0" xfId="0">
      <alignment vertical="top" wrapText="1"/>
    </xf>
    <xf numFmtId="0" fontId="0" fillId="33" borderId="0" applyAlignment="1" pivotButton="0" quotePrefix="0" xfId="0">
      <alignment vertical="top" wrapText="1"/>
    </xf>
    <xf numFmtId="0" fontId="57" fillId="35" borderId="0" applyAlignment="1" pivotButton="0" quotePrefix="0" xfId="0">
      <alignment vertical="center" indent="1"/>
    </xf>
    <xf numFmtId="0" fontId="58" fillId="0" borderId="0" applyAlignment="1" pivotButton="0" quotePrefix="0" xfId="0">
      <alignment wrapText="1" indent="1"/>
    </xf>
    <xf numFmtId="0" fontId="59" fillId="0" borderId="11" pivotButton="0" quotePrefix="0" xfId="0"/>
    <xf numFmtId="0" fontId="0" fillId="0" borderId="11" pivotButton="0" quotePrefix="0" xfId="0"/>
    <xf numFmtId="0" fontId="20" fillId="41" borderId="10" applyAlignment="1" pivotButton="0" quotePrefix="0" xfId="0">
      <alignment vertical="top" wrapText="1"/>
    </xf>
    <xf numFmtId="0" fontId="0" fillId="0" borderId="10" applyAlignment="1" pivotButton="0" quotePrefix="0" xfId="0">
      <alignment vertical="top" wrapText="1"/>
    </xf>
    <xf numFmtId="0" fontId="0" fillId="0" borderId="10" pivotButton="0" quotePrefix="0" xfId="0"/>
    <xf numFmtId="0" fontId="20" fillId="36" borderId="10" applyAlignment="1" pivotButton="0" quotePrefix="0" xfId="0">
      <alignment horizontal="center" wrapText="1"/>
    </xf>
    <xf numFmtId="0" fontId="57" fillId="44" borderId="0" applyAlignment="1" pivotButton="0" quotePrefix="0" xfId="0">
      <alignment vertical="center" indent="1"/>
    </xf>
    <xf numFmtId="0" fontId="53" fillId="0" borderId="12" pivotButton="0" quotePrefix="0" xfId="0"/>
    <xf numFmtId="0" fontId="0" fillId="0" borderId="12" pivotButton="0" quotePrefix="0" xfId="0"/>
  </cellXfs>
  <cellStyles count="1">
    <cellStyle name="Standard" xfId="0" builtinId="0"/>
  </cellStyles>
  <dxfs count="9">
    <dxf>
      <border>
        <bottom style="hair">
          <color rgb="FFD3D3D3"/>
        </bottom>
      </border>
    </dxf>
    <dxf>
      <border>
        <bottom style="hair">
          <color rgb="FFD3D3D3"/>
        </bottom>
      </border>
    </dxf>
    <dxf>
      <border>
        <bottom style="hair">
          <color rgb="FFD3D3D3"/>
        </bottom>
      </border>
    </dxf>
    <dxf>
      <border>
        <bottom style="hair">
          <color rgb="FFD3D3D3"/>
        </bottom>
      </border>
    </dxf>
    <dxf>
      <border>
        <bottom style="hair">
          <color rgb="FFD3D3D3"/>
        </bottom>
      </border>
    </dxf>
    <dxf>
      <border>
        <bottom style="hair">
          <color rgb="FFD3D3D3"/>
        </bottom>
      </border>
    </dxf>
    <dxf>
      <border>
        <bottom style="hair">
          <color rgb="FFD3D3D3"/>
        </bottom>
      </border>
    </dxf>
    <dxf>
      <border>
        <bottom style="hair">
          <color rgb="FFD3D3D3"/>
        </bottom>
      </border>
    </dxf>
    <dxf>
      <border>
        <bottom style="hair">
          <color rgb="FFD3D3D3"/>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Ampel der Vorhaben</a:t>
            </a:r>
          </a:p>
        </rich>
      </tx>
    </title>
    <plotArea>
      <pieChart>
        <varyColors val="1"/>
        <ser>
          <idx val="0"/>
          <order val="0"/>
          <tx>
            <strRef>
              <f>'HERMES Übersicht'!Q7</f>
            </strRef>
          </tx>
          <spPr>
            <a:ln>
              <a:prstDash val="solid"/>
            </a:ln>
          </spPr>
          <dPt>
            <idx val="0"/>
            <spPr>
              <a:solidFill>
                <a:srgbClr val="2E8B57"/>
              </a:solidFill>
              <a:ln>
                <a:solidFill>
                  <a:srgbClr val="FFFFFF"/>
                </a:solidFill>
                <a:prstDash val="solid"/>
              </a:ln>
            </spPr>
          </dPt>
          <dPt>
            <idx val="1"/>
            <spPr>
              <a:solidFill>
                <a:srgbClr val="C9A100"/>
              </a:solidFill>
              <a:ln>
                <a:solidFill>
                  <a:srgbClr val="FFFFFF"/>
                </a:solidFill>
                <a:prstDash val="solid"/>
              </a:ln>
            </spPr>
          </dPt>
          <dPt>
            <idx val="2"/>
            <spPr>
              <a:solidFill>
                <a:srgbClr val="C00000"/>
              </a:solidFill>
              <a:ln>
                <a:solidFill>
                  <a:srgbClr val="FFFFFF"/>
                </a:solidFill>
                <a:prstDash val="solid"/>
              </a:ln>
            </spPr>
          </dPt>
          <dPt>
            <idx val="3"/>
            <spPr>
              <a:solidFill>
                <a:srgbClr val="7F7F7F"/>
              </a:solidFill>
              <a:ln>
                <a:solidFill>
                  <a:srgbClr val="FFFFFF"/>
                </a:solidFill>
                <a:prstDash val="solid"/>
              </a:ln>
            </spPr>
          </dPt>
          <cat>
            <numRef>
              <f>'HERMES Übersicht'!$P$8:$P$11</f>
            </numRef>
          </cat>
          <val>
            <numRef>
              <f>'HERMES Übersicht'!$Q$8:$Q$11</f>
            </numRef>
          </val>
        </ser>
        <dLbls>
          <showLegendKey val="0"/>
          <showVal val="1"/>
          <showCatName val="0"/>
          <showSerName val="0"/>
        </dLbls>
        <firstSliceAng val="0"/>
      </pieChart>
    </plotArea>
    <legend>
      <legendPos val="r"/>
    </legend>
    <plotVisOnly val="0"/>
    <dispBlanksAs val="gap"/>
  </chart>
</chartSpace>
</file>

<file path=xl/charts/chart2.xml><?xml version="1.0" encoding="utf-8"?>
<chartSpace xmlns:a="http://schemas.openxmlformats.org/drawingml/2006/main" xmlns="http://schemas.openxmlformats.org/drawingml/2006/chart">
  <chart>
    <title>
      <tx>
        <rich>
          <a:bodyPr/>
          <a:p>
            <a:pPr>
              <a:defRPr/>
            </a:pPr>
            <a:r>
              <a:t>Offene Aufgaben je Vorhaben</a:t>
            </a:r>
          </a:p>
        </rich>
      </tx>
    </title>
    <plotArea>
      <barChart>
        <barDir val="bar"/>
        <grouping val="clustered"/>
        <ser>
          <idx val="0"/>
          <order val="0"/>
          <tx>
            <strRef>
              <f>'HERMES Übersicht'!J7</f>
            </strRef>
          </tx>
          <spPr>
            <a:solidFill>
              <a:srgbClr val="5B9BD5"/>
            </a:solidFill>
            <a:ln>
              <a:prstDash val="solid"/>
            </a:ln>
          </spPr>
          <cat>
            <numRef>
              <f>'HERMES Übersicht'!$A$8:$A$19</f>
            </numRef>
          </cat>
          <val>
            <numRef>
              <f>'HERMES Übersicht'!$J$8:$J$19</f>
            </numRef>
          </val>
        </ser>
        <dLbls>
          <showLegendKey val="0"/>
          <showVal val="1"/>
          <showCatName val="0"/>
          <showSerName val="0"/>
        </dLbls>
        <gapWidth val="150"/>
        <axId val="10"/>
        <axId val="100"/>
      </barChart>
      <catAx>
        <axId val="10"/>
        <scaling>
          <orientation val="maxMin"/>
        </scaling>
        <delete val="0"/>
        <axPos val="l"/>
        <majorTickMark val="none"/>
        <minorTickMark val="none"/>
        <crossAx val="100"/>
        <lblOffset val="100"/>
      </catAx>
      <valAx>
        <axId val="100"/>
        <scaling>
          <orientation val="minMax"/>
        </scaling>
        <delete val="1"/>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20</row>
      <rowOff>0</rowOff>
    </from>
    <ext cx="3600000" cy="270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20</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OffeneTodoErlaeuterungen" displayName="OffeneTodoErlaeuterungen" ref="A4:J27" headerRowCount="1" totalsRowShown="0">
  <autoFilter ref="A4:J27"/>
  <tableColumns count="10">
    <tableColumn id="1" name="Nr." dataDxfId="8"/>
    <tableColumn id="2" name="Dringlichkeit" dataDxfId="7"/>
    <tableColumn id="3" name="Bereich" dataDxfId="6"/>
    <tableColumn id="4" name="ID" dataDxfId="5"/>
    <tableColumn id="5" name="Thema" dataDxfId="4"/>
    <tableColumn id="6" name="Owner" dataDxfId="3"/>
    <tableColumn id="7" name="Status"/>
    <tableColumn id="8" name="Worum geht es?" dataDxfId="2"/>
    <tableColumn id="9" name="Was ist zu tun / zu entscheiden?" dataDxfId="1"/>
    <tableColumn id="10" name="Erledigt, wenn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001F3864"/>
    <outlinePr summaryBelow="1" summaryRight="1"/>
    <pageSetUpPr fitToPage="1"/>
  </sheetPr>
  <dimension ref="A1:Q32"/>
  <sheetViews>
    <sheetView showGridLines="0" tabSelected="1" workbookViewId="0">
      <pane xSplit="2" ySplit="7" topLeftCell="C8" activePane="bottomRight" state="frozen"/>
      <selection pane="topRight"/>
      <selection pane="bottomLeft"/>
      <selection pane="bottomRight" activeCell="A1" sqref="A1"/>
    </sheetView>
  </sheetViews>
  <sheetFormatPr baseColWidth="8" defaultRowHeight="15"/>
  <cols>
    <col width="8" customWidth="1" style="62" min="1" max="1"/>
    <col width="36" customWidth="1" style="62" min="2" max="2"/>
    <col width="13" customWidth="1" style="62" min="3" max="3"/>
    <col width="11" customWidth="1" style="62" min="4" max="4"/>
    <col width="22" customWidth="1" style="62" min="5" max="5"/>
    <col width="26" customWidth="1" style="62" min="6" max="6"/>
    <col width="13" customWidth="1" style="62" min="7" max="7"/>
    <col width="15" customWidth="1" style="62" min="8" max="8"/>
    <col width="13" customWidth="1" style="62" min="9" max="9"/>
    <col width="10" customWidth="1" style="62" min="10" max="10"/>
    <col width="46" customWidth="1" style="62" min="11" max="11"/>
    <col width="38" customWidth="1" style="62" min="12" max="12"/>
    <col width="42" customWidth="1" style="62" min="13" max="13"/>
    <col hidden="1" width="13" customWidth="1" style="62" min="16" max="16"/>
    <col hidden="1" width="13" customWidth="1" style="62" min="17" max="17"/>
  </cols>
  <sheetData>
    <row r="1" ht="36" customHeight="1" s="62">
      <c r="A1" s="96" t="inlineStr">
        <is>
          <t>Vorhaben nach HERMES  ·  Übersicht für die Geschäftsleitung</t>
        </is>
      </c>
    </row>
    <row r="2" ht="20" customHeight="1" s="62">
      <c r="A2" s="97" t="inlineStr">
        <is>
          <t>Stand 21.10.2026  ·  eine Zeile je Vorhaben  ·  Rollen mit «Vorschlag» sind aus der Dokumentation abgeleitet und noch nicht bestätigt</t>
        </is>
      </c>
    </row>
    <row r="4" ht="18" customHeight="1" s="62">
      <c r="A4" s="98" t="inlineStr">
        <is>
          <t>VORHABEN</t>
        </is>
      </c>
      <c r="B4" s="99" t="n"/>
      <c r="C4" s="100" t="inlineStr">
        <is>
          <t>● IM PLAN</t>
        </is>
      </c>
      <c r="D4" s="101" t="n"/>
      <c r="E4" s="102" t="inlineStr">
        <is>
          <t>● ACHTUNG</t>
        </is>
      </c>
      <c r="F4" s="103" t="n"/>
      <c r="G4" s="104" t="inlineStr">
        <is>
          <t>● KRITISCH</t>
        </is>
      </c>
      <c r="H4" s="105" t="n"/>
      <c r="I4" s="106" t="inlineStr">
        <is>
          <t>● NEU</t>
        </is>
      </c>
      <c r="J4" s="107" t="n"/>
      <c r="K4" s="108" t="inlineStr">
        <is>
          <t>FREIGABE FEHLT</t>
        </is>
      </c>
      <c r="L4" s="109" t="n"/>
      <c r="M4" s="108" t="inlineStr">
        <is>
          <t>ROLLE OFFEN</t>
        </is>
      </c>
    </row>
    <row r="5" ht="38" customHeight="1" s="62">
      <c r="A5" s="110" t="n">
        <v>12</v>
      </c>
      <c r="B5" s="99" t="n"/>
      <c r="C5" s="111" t="n">
        <v>4</v>
      </c>
      <c r="D5" s="101" t="n"/>
      <c r="E5" s="112" t="n">
        <v>4</v>
      </c>
      <c r="F5" s="103" t="n"/>
      <c r="G5" s="113" t="n">
        <v>2</v>
      </c>
      <c r="H5" s="105" t="n"/>
      <c r="I5" s="114" t="n">
        <v>2</v>
      </c>
      <c r="J5" s="107" t="n"/>
      <c r="K5" s="115" t="n">
        <v>9</v>
      </c>
      <c r="L5" s="109" t="n"/>
      <c r="M5" s="116" t="n">
        <v>14</v>
      </c>
    </row>
    <row r="7" ht="30" customHeight="1" s="62">
      <c r="A7" s="117" t="inlineStr">
        <is>
          <t>ID</t>
        </is>
      </c>
      <c r="B7" s="117" t="inlineStr">
        <is>
          <t>Vorhaben</t>
        </is>
      </c>
      <c r="C7" s="117" t="inlineStr">
        <is>
          <t>HERMES-Stufe</t>
        </is>
      </c>
      <c r="D7" s="117" t="inlineStr">
        <is>
          <t>Ampel</t>
        </is>
      </c>
      <c r="E7" s="117" t="inlineStr">
        <is>
          <t>Auftraggeber</t>
        </is>
      </c>
      <c r="F7" s="117" t="inlineStr">
        <is>
          <t>Anwendervertreter</t>
        </is>
      </c>
      <c r="G7" s="117" t="inlineStr">
        <is>
          <t>① Freigabe</t>
        </is>
      </c>
      <c r="H7" s="117" t="inlineStr">
        <is>
          <t>② Abnahme</t>
        </is>
      </c>
      <c r="I7" s="117" t="inlineStr">
        <is>
          <t>③ Abschluss</t>
        </is>
      </c>
      <c r="J7" s="117" t="inlineStr">
        <is>
          <t>Offene Aufgaben</t>
        </is>
      </c>
      <c r="K7" s="117" t="inlineStr">
        <is>
          <t>Stand in einem Satz</t>
        </is>
      </c>
      <c r="L7" s="117" t="inlineStr">
        <is>
          <t>Nächster Entscheid</t>
        </is>
      </c>
      <c r="M7" s="117" t="inlineStr">
        <is>
          <t>Erledigt, wenn</t>
        </is>
      </c>
      <c r="P7" t="inlineStr">
        <is>
          <t>Ampel</t>
        </is>
      </c>
      <c r="Q7" t="inlineStr">
        <is>
          <t>Anzahl</t>
        </is>
      </c>
    </row>
    <row r="8" ht="53" customHeight="1" s="62">
      <c r="A8" s="118" t="inlineStr">
        <is>
          <t>PM-01</t>
        </is>
      </c>
      <c r="B8" s="119" t="inlineStr">
        <is>
          <t>ZLO03: Auswertung auslaufender Materialien korrigieren</t>
        </is>
      </c>
      <c r="C8" s="120" t="inlineStr">
        <is>
          <t>Vorhaben</t>
        </is>
      </c>
      <c r="D8" s="121" t="inlineStr">
        <is>
          <t>●  Gelb</t>
        </is>
      </c>
      <c r="E8" s="122" t="inlineStr">
        <is>
          <t>⚠ festlegen</t>
        </is>
      </c>
      <c r="F8" s="122" t="inlineStr">
        <is>
          <t>⚠ festlegen (Vorschlag: Ann-Katrin Michel)</t>
        </is>
      </c>
      <c r="G8" s="123" t="inlineStr">
        <is>
          <t>○  offen</t>
        </is>
      </c>
      <c r="H8" s="123" t="inlineStr">
        <is>
          <t>○  offen</t>
        </is>
      </c>
      <c r="I8" s="123" t="inlineStr">
        <is>
          <t>○  offen</t>
        </is>
      </c>
      <c r="J8" s="124" t="n">
        <v>2</v>
      </c>
      <c r="K8" s="125" t="inlineStr">
        <is>
          <t>Die Korrektur ist fertig; Test und Übernahme ins Produktivsystem stehen seit dem 14.08.2026 aus.</t>
        </is>
      </c>
      <c r="L8" s="125" t="inlineStr">
        <is>
          <t>Anwendervertreter und Abnahmekriterien nachträglich festlegen, dann testen und abnehmen.</t>
        </is>
      </c>
      <c r="M8" s="125" t="inlineStr">
        <is>
          <t>Mengen und Materialliste stimmen im Produktivsystem mit einer vereinbarten Stichprobe überein.</t>
        </is>
      </c>
      <c r="P8" t="inlineStr">
        <is>
          <t>Grün</t>
        </is>
      </c>
      <c r="Q8" t="n">
        <v>4</v>
      </c>
    </row>
    <row r="9" ht="53" customHeight="1" s="62">
      <c r="A9" s="126" t="inlineStr">
        <is>
          <t>PM-02</t>
        </is>
      </c>
      <c r="B9" s="127" t="inlineStr">
        <is>
          <t>ZC12: Fehler bei Nullmengen</t>
        </is>
      </c>
      <c r="C9" s="128" t="inlineStr">
        <is>
          <t>Kleinauftrag</t>
        </is>
      </c>
      <c r="D9" s="129" t="inlineStr">
        <is>
          <t>●  Rot</t>
        </is>
      </c>
      <c r="E9" s="130" t="inlineStr">
        <is>
          <t>⚠ festlegen</t>
        </is>
      </c>
      <c r="F9" s="130" t="inlineStr">
        <is>
          <t>⚠ festlegen</t>
        </is>
      </c>
      <c r="G9" s="131" t="inlineStr">
        <is>
          <t>–  nicht nötig</t>
        </is>
      </c>
      <c r="H9" s="131" t="inlineStr">
        <is>
          <t>–  nicht nötig</t>
        </is>
      </c>
      <c r="I9" s="131" t="inlineStr">
        <is>
          <t>–  nicht nötig</t>
        </is>
      </c>
      <c r="J9" s="132" t="n">
        <v>1</v>
      </c>
      <c r="K9" s="133" t="inlineStr">
        <is>
          <t>Die Ursache ist eingegrenzt und eine korrigierte Fassung vorbereitet, aber noch nicht im System.</t>
        </is>
      </c>
      <c r="L9" s="133" t="inlineStr">
        <is>
          <t>Korrigierte Fassung einspielen und den Fall nachtesten.</t>
        </is>
      </c>
      <c r="M9" s="133" t="inlineStr">
        <is>
          <t>Nullmengen werden korrekt angezeigt.</t>
        </is>
      </c>
      <c r="P9" t="inlineStr">
        <is>
          <t>Gelb</t>
        </is>
      </c>
      <c r="Q9" t="n">
        <v>4</v>
      </c>
    </row>
    <row r="10" ht="53" customHeight="1" s="62">
      <c r="A10" s="118" t="inlineStr">
        <is>
          <t>PM-03</t>
        </is>
      </c>
      <c r="B10" s="119" t="inlineStr">
        <is>
          <t>ZZPRDAT: Produktionsdatum am Fertigungsauftrag</t>
        </is>
      </c>
      <c r="C10" s="120" t="inlineStr">
        <is>
          <t>Vorhaben</t>
        </is>
      </c>
      <c r="D10" s="121" t="inlineStr">
        <is>
          <t>●  Gelb</t>
        </is>
      </c>
      <c r="E10" s="122" t="inlineStr">
        <is>
          <t>⚠ festlegen</t>
        </is>
      </c>
      <c r="F10" s="134" t="inlineStr">
        <is>
          <t>Vorschlag: Lucas Castro, Florian Waechter</t>
        </is>
      </c>
      <c r="G10" s="123" t="inlineStr">
        <is>
          <t>○  offen</t>
        </is>
      </c>
      <c r="H10" s="123" t="inlineStr">
        <is>
          <t>○  offen</t>
        </is>
      </c>
      <c r="I10" s="123" t="inlineStr">
        <is>
          <t>○  offen</t>
        </is>
      </c>
      <c r="J10" s="124" t="n">
        <v>1</v>
      </c>
      <c r="K10" s="125" t="inlineStr">
        <is>
          <t>Die Lösung ist gebaut und im Testsystem vollständig geprüft; der gemeinsame Test mit Lucas, Marco und Adil ist auf den 12.10.2026 gelegt.</t>
        </is>
      </c>
      <c r="L10" s="125" t="inlineStr">
        <is>
          <t>Test am 12.10.2026 durchführen, danach Abnahme und Übernahme ins Produktivsystem.</t>
        </is>
      </c>
      <c r="M10" s="125" t="inlineStr">
        <is>
          <t>Die Abnahme liegt schriftlich vor, Etikett und Typenschild sind geprüft.</t>
        </is>
      </c>
      <c r="P10" t="inlineStr">
        <is>
          <t>Rot</t>
        </is>
      </c>
      <c r="Q10" t="n">
        <v>2</v>
      </c>
    </row>
    <row r="11" ht="68" customHeight="1" s="62">
      <c r="A11" s="126" t="inlineStr">
        <is>
          <t>PM-04</t>
        </is>
      </c>
      <c r="B11" s="127" t="inlineStr">
        <is>
          <t>Einkaufs-Dashboard mit Drilldown und Lagerwert</t>
        </is>
      </c>
      <c r="C11" s="135" t="inlineStr">
        <is>
          <t>Projekt</t>
        </is>
      </c>
      <c r="D11" s="136" t="inlineStr">
        <is>
          <t>●  Grün</t>
        </is>
      </c>
      <c r="E11" s="130" t="inlineStr">
        <is>
          <t>⚠ festlegen</t>
        </is>
      </c>
      <c r="F11" s="137" t="inlineStr">
        <is>
          <t>Vorschlag: Einkauf (Marco, Armin)</t>
        </is>
      </c>
      <c r="G11" s="138" t="inlineStr">
        <is>
          <t>○  offen</t>
        </is>
      </c>
      <c r="H11" s="138" t="inlineStr">
        <is>
          <t>○  offen</t>
        </is>
      </c>
      <c r="I11" s="138" t="inlineStr">
        <is>
          <t>○  offen</t>
        </is>
      </c>
      <c r="J11" s="132" t="n">
        <v>6</v>
      </c>
      <c r="K11" s="133" t="inlineStr">
        <is>
          <t>Produktiv; seit 01.10.2026 Texte D1/D5 im Dashboard und sofortige Anzeige nach dem Auffrischen. Offen sind nur ein SAP-Schlüssel (Empfehlung: nicht umsetzen) und drei Beschriftungen.</t>
        </is>
      </c>
      <c r="L11" s="133" t="inlineStr">
        <is>
          <t>Entscheid zu SAP-Schlüssel und Beschriftungen, dann abschliessen.</t>
        </is>
      </c>
      <c r="M11" s="133" t="inlineStr">
        <is>
          <t>Der Einkauf nutzt das Dashboard ohne Rückfragen, der Lagerwert ist gegen SAP abgestimmt.</t>
        </is>
      </c>
      <c r="P11" t="inlineStr">
        <is>
          <t>Neu</t>
        </is>
      </c>
      <c r="Q11" t="n">
        <v>2</v>
      </c>
    </row>
    <row r="12" ht="38" customHeight="1" s="62">
      <c r="A12" s="118" t="inlineStr">
        <is>
          <t>PM-05</t>
        </is>
      </c>
      <c r="B12" s="119" t="inlineStr">
        <is>
          <t>Finance: Gruppenreporting Umsatz und Marge</t>
        </is>
      </c>
      <c r="C12" s="135" t="inlineStr">
        <is>
          <t>Projekt</t>
        </is>
      </c>
      <c r="D12" s="121" t="inlineStr">
        <is>
          <t>●  Gelb</t>
        </is>
      </c>
      <c r="E12" s="134" t="inlineStr">
        <is>
          <t>Vorschlag: Andreas Stoller</t>
        </is>
      </c>
      <c r="F12" s="134" t="inlineStr">
        <is>
          <t>Vorschlag: Andreas Stoller</t>
        </is>
      </c>
      <c r="G12" s="123" t="inlineStr">
        <is>
          <t>○  offen</t>
        </is>
      </c>
      <c r="H12" s="123" t="inlineStr">
        <is>
          <t>○  offen</t>
        </is>
      </c>
      <c r="I12" s="123" t="inlineStr">
        <is>
          <t>○  offen</t>
        </is>
      </c>
      <c r="J12" s="124" t="n">
        <v>19</v>
      </c>
      <c r="K12" s="125" t="inlineStr">
        <is>
          <t>Produktiv; mehrere Fachentscheide zu Marge, Umsatzbegriff und Kostenregeln sind offen.</t>
        </is>
      </c>
      <c r="L12" s="125" t="inlineStr">
        <is>
          <t>Offene Fachentscheide mit Andreas Stoller abschliessen.</t>
        </is>
      </c>
      <c r="M12" s="125" t="inlineStr">
        <is>
          <t>Andreas Stoller gibt Gruppenmarge und Umsatzdefinition schriftlich frei.</t>
        </is>
      </c>
    </row>
    <row r="13" ht="53" customHeight="1" s="62">
      <c r="A13" s="126" t="inlineStr">
        <is>
          <t>PM-06</t>
        </is>
      </c>
      <c r="B13" s="127" t="inlineStr">
        <is>
          <t>PPWR: Stoffcompliance über SAP-Klassifizierung</t>
        </is>
      </c>
      <c r="C13" s="120" t="inlineStr">
        <is>
          <t>Vorhaben</t>
        </is>
      </c>
      <c r="D13" s="136" t="inlineStr">
        <is>
          <t>●  Grün</t>
        </is>
      </c>
      <c r="E13" s="130" t="inlineStr">
        <is>
          <t>⚠ festlegen</t>
        </is>
      </c>
      <c r="F13" s="137" t="inlineStr">
        <is>
          <t>Vorschlag: Adil</t>
        </is>
      </c>
      <c r="G13" s="138" t="inlineStr">
        <is>
          <t>○  offen</t>
        </is>
      </c>
      <c r="H13" s="139" t="inlineStr">
        <is>
          <t>✔  20.08.2026</t>
        </is>
      </c>
      <c r="I13" s="138" t="inlineStr">
        <is>
          <t>○  offen</t>
        </is>
      </c>
      <c r="J13" s="132" t="n">
        <v>0</v>
      </c>
      <c r="K13" s="133" t="inlineStr">
        <is>
          <t>Pilotmaterialien sind zugeordnet und laut Ingo abgenommen; die Übernahme ins Produktivsystem folgt nach Plan.</t>
        </is>
      </c>
      <c r="L13" s="133" t="inlineStr">
        <is>
          <t>Übergabe in den Betrieb dokumentieren.</t>
        </is>
      </c>
      <c r="M13" s="133" t="inlineStr">
        <is>
          <t>Die Klassifizierung ist produktiv und dokumentiert übergeben.</t>
        </is>
      </c>
    </row>
    <row r="14" ht="68" customHeight="1" s="62">
      <c r="A14" s="118" t="inlineStr">
        <is>
          <t>PM-07</t>
        </is>
      </c>
      <c r="B14" s="119" t="inlineStr">
        <is>
          <t>HR: automatische Auswertung der Personaldaten</t>
        </is>
      </c>
      <c r="C14" s="120" t="inlineStr">
        <is>
          <t>Vorhaben</t>
        </is>
      </c>
      <c r="D14" s="121" t="inlineStr">
        <is>
          <t>●  Gelb</t>
        </is>
      </c>
      <c r="E14" s="122" t="inlineStr">
        <is>
          <t>⚠ festlegen</t>
        </is>
      </c>
      <c r="F14" s="134" t="inlineStr">
        <is>
          <t>Vorschlag: Sonja Richter</t>
        </is>
      </c>
      <c r="G14" s="123" t="inlineStr">
        <is>
          <t>○  offen</t>
        </is>
      </c>
      <c r="H14" s="123" t="inlineStr">
        <is>
          <t>○  offen</t>
        </is>
      </c>
      <c r="I14" s="123" t="inlineStr">
        <is>
          <t>○  offen</t>
        </is>
      </c>
      <c r="J14" s="124" t="n">
        <v>3</v>
      </c>
      <c r="K14" s="125" t="inlineStr">
        <is>
          <t>Seit 01.10.2026 holt das HR-Cockpit SAP-Daten und Abwesenheiten je Fall täglich selbst; die Krankenquote ist damit periodengenau. Es fehlt der tägliche Rexx-Export (Upgreat).</t>
        </is>
      </c>
      <c r="L14" s="125" t="inlineStr">
        <is>
          <t>Antwort Ueli Kunzmann (Upgreat) einholen; HR bestätigt die Krankheitsarten.</t>
        </is>
      </c>
      <c r="M14" s="125" t="inlineStr">
        <is>
          <t>Die monatliche Auswertung läuft ohne Handarbeit.</t>
        </is>
      </c>
    </row>
    <row r="15" ht="53" customHeight="1" s="62">
      <c r="A15" s="126" t="inlineStr">
        <is>
          <t>PM-08</t>
        </is>
      </c>
      <c r="B15" s="127" t="inlineStr">
        <is>
          <t>Bahnmarkt: Railway-Auswertung für Deutschland und die Standorte</t>
        </is>
      </c>
      <c r="C15" s="120" t="inlineStr">
        <is>
          <t>Vorhaben</t>
        </is>
      </c>
      <c r="D15" s="129" t="inlineStr">
        <is>
          <t>●  Rot</t>
        </is>
      </c>
      <c r="E15" s="137" t="inlineStr">
        <is>
          <t>Vorschlag: Rohail Munir</t>
        </is>
      </c>
      <c r="F15" s="137" t="inlineStr">
        <is>
          <t>Vorschlag: Patrik</t>
        </is>
      </c>
      <c r="G15" s="138" t="inlineStr">
        <is>
          <t>○  offen</t>
        </is>
      </c>
      <c r="H15" s="138" t="inlineStr">
        <is>
          <t>○  offen</t>
        </is>
      </c>
      <c r="I15" s="138" t="inlineStr">
        <is>
          <t>○  offen</t>
        </is>
      </c>
      <c r="J15" s="132" t="n">
        <v>10</v>
      </c>
      <c r="K15" s="133" t="inlineStr">
        <is>
          <t>Umsatz-Gesamtsicht über alle Standorte am 29.09.2026 geliefert und plausibilisiert; bestätigt sind erst DE und ein Kunde in Indien.</t>
        </is>
      </c>
      <c r="L15" s="133" t="inlineStr">
        <is>
          <t>Top 15 Vorschläge und Schweiz mit Andreas und Patrik bestätigen.</t>
        </is>
      </c>
      <c r="M15" s="133" t="inlineStr">
        <is>
          <t>Rohail Munir hat eine geprüfte Auswertung mit bestätigten Kundenzuordnungen.</t>
        </is>
      </c>
    </row>
    <row r="16" ht="68" customHeight="1" s="62">
      <c r="A16" s="118" t="inlineStr">
        <is>
          <t>PM-09</t>
        </is>
      </c>
      <c r="B16" s="119" t="inlineStr">
        <is>
          <t>Plattform: Tempo der Webapp und stabiler Nachtlauf</t>
        </is>
      </c>
      <c r="C16" s="120" t="inlineStr">
        <is>
          <t>Vorhaben</t>
        </is>
      </c>
      <c r="D16" s="136" t="inlineStr">
        <is>
          <t>●  Grün</t>
        </is>
      </c>
      <c r="E16" s="122" t="inlineStr">
        <is>
          <t>⚠ festlegen</t>
        </is>
      </c>
      <c r="F16" s="122" t="inlineStr">
        <is>
          <t>⚠ festlegen</t>
        </is>
      </c>
      <c r="G16" s="123" t="inlineStr">
        <is>
          <t>○  offen</t>
        </is>
      </c>
      <c r="H16" s="123" t="inlineStr">
        <is>
          <t>○  offen</t>
        </is>
      </c>
      <c r="I16" s="123" t="inlineStr">
        <is>
          <t>○  offen</t>
        </is>
      </c>
      <c r="J16" s="124" t="n">
        <v>15</v>
      </c>
      <c r="K16" s="125" t="inlineStr">
        <is>
          <t>Weitgehend erledigt und produktiv; seit 01.10.2026 zeigt der Einkauf nach dem Auffrischen sofort den bisherigen Stand. Die Server-Einstellung durch die IT fehlt noch.</t>
        </is>
      </c>
      <c r="L16" s="125" t="inlineStr">
        <is>
          <t>IT stellt den Dauerbetrieb des Servers ein.</t>
        </is>
      </c>
      <c r="M16" s="125" t="inlineStr">
        <is>
          <t>Seiten laden in wenigen Sekunden, der Nachtlauf läuft täglich.</t>
        </is>
      </c>
    </row>
    <row r="17" ht="68" customHeight="1" s="62">
      <c r="A17" s="126" t="inlineStr">
        <is>
          <t>PM-10</t>
        </is>
      </c>
      <c r="B17" s="127" t="inlineStr">
        <is>
          <t>Ablösung Smartsheet</t>
        </is>
      </c>
      <c r="C17" s="120" t="inlineStr">
        <is>
          <t>Vorhaben</t>
        </is>
      </c>
      <c r="D17" s="140" t="inlineStr">
        <is>
          <t>●  Neu</t>
        </is>
      </c>
      <c r="E17" s="130" t="inlineStr">
        <is>
          <t>⚠ festlegen</t>
        </is>
      </c>
      <c r="F17" s="137" t="inlineStr">
        <is>
          <t>Vorschlag: Philip Steiger</t>
        </is>
      </c>
      <c r="G17" s="138" t="inlineStr">
        <is>
          <t>○  offen</t>
        </is>
      </c>
      <c r="H17" s="138" t="inlineStr">
        <is>
          <t>○  offen</t>
        </is>
      </c>
      <c r="I17" s="138" t="inlineStr">
        <is>
          <t>○  offen</t>
        </is>
      </c>
      <c r="J17" s="132" t="n">
        <v>1</v>
      </c>
      <c r="K17" s="133" t="inlineStr">
        <is>
          <t>Neu aufgenommen am 29.09.2026; es gibt noch keinen Auftrag, keine Anforderungen und keine Aufwandschätzung. Philip Steiger testet das Project Power Pack.</t>
        </is>
      </c>
      <c r="L17" s="133" t="inlineStr">
        <is>
          <t>Projektauftrag in der Initialisierung schreiben und dabei die Stufe nach Aufwand festlegen.</t>
        </is>
      </c>
      <c r="M17" s="133" t="inlineStr">
        <is>
          <t>Der Projektauftrag ist freigegeben, der Nachfolger von Smartsheet ist bestimmt.</t>
        </is>
      </c>
    </row>
    <row r="18" ht="38" customHeight="1" s="62">
      <c r="A18" s="118" t="inlineStr">
        <is>
          <t>PM-11</t>
        </is>
      </c>
      <c r="B18" s="119" t="inlineStr">
        <is>
          <t>Data Lake: Leistung analysieren und messen</t>
        </is>
      </c>
      <c r="C18" s="128" t="inlineStr">
        <is>
          <t>Kleinauftrag</t>
        </is>
      </c>
      <c r="D18" s="136" t="inlineStr">
        <is>
          <t>●  Grün</t>
        </is>
      </c>
      <c r="E18" s="134" t="inlineStr">
        <is>
          <t>Vorschlag: Andreas Stoller</t>
        </is>
      </c>
      <c r="F18" s="122" t="inlineStr">
        <is>
          <t>⚠ festlegen</t>
        </is>
      </c>
      <c r="G18" s="141" t="inlineStr">
        <is>
          <t>–  nicht nötig</t>
        </is>
      </c>
      <c r="H18" s="141" t="inlineStr">
        <is>
          <t>–  nicht nötig</t>
        </is>
      </c>
      <c r="I18" s="142" t="inlineStr">
        <is>
          <t>✔  13.10.2026</t>
        </is>
      </c>
      <c r="J18" s="124" t="n">
        <v>0</v>
      </c>
      <c r="K18" s="125" t="inlineStr">
        <is>
          <t>Erledigt laut Ingo am 13.10.2026 (Sitzung).</t>
        </is>
      </c>
      <c r="L18" s="125" t="inlineStr">
        <is>
          <t>-</t>
        </is>
      </c>
      <c r="M18" s="125" t="inlineStr">
        <is>
          <t>Ein Messbericht mit Befund und Empfehlung liegt vor.</t>
        </is>
      </c>
    </row>
    <row r="19" ht="83" customHeight="1" s="62">
      <c r="A19" s="126" t="inlineStr">
        <is>
          <t>PM-12</t>
        </is>
      </c>
      <c r="B19" s="127" t="inlineStr">
        <is>
          <t>Power BI: je Dashboard ein Anwendervertreter</t>
        </is>
      </c>
      <c r="C19" s="128" t="inlineStr">
        <is>
          <t>Kleinauftrag</t>
        </is>
      </c>
      <c r="D19" s="140" t="inlineStr">
        <is>
          <t>●  Neu</t>
        </is>
      </c>
      <c r="E19" s="130" t="inlineStr">
        <is>
          <t>⚠ festlegen</t>
        </is>
      </c>
      <c r="F19" s="130" t="inlineStr">
        <is>
          <t>⚠ festlegen</t>
        </is>
      </c>
      <c r="G19" s="131" t="inlineStr">
        <is>
          <t>–  nicht nötig</t>
        </is>
      </c>
      <c r="H19" s="131" t="inlineStr">
        <is>
          <t>–  nicht nötig</t>
        </is>
      </c>
      <c r="I19" s="131" t="inlineStr">
        <is>
          <t>–  nicht nötig</t>
        </is>
      </c>
      <c r="J19" s="132" t="n">
        <v>1</v>
      </c>
      <c r="K19" s="133" t="inlineStr">
        <is>
          <t>Neu aufgenommen am 29.09.2026; die Liste der Dashboards und ihre Zuordnung zu Fachbereichen fehlt noch. Am 20.10.2026 zur Abschlussrunde mit allen Bereichen eingeladen, Datenverantwortung ist dort Agendapunkt.</t>
        </is>
      </c>
      <c r="L19" s="133" t="inlineStr">
        <is>
          <t>Dashboards auflisten und je Dashboard einen Anwendervertreter aus dem Fachbereich benennen, der auch für die Datenqualität verantwortlich ist.</t>
        </is>
      </c>
      <c r="M19" s="133" t="inlineStr">
        <is>
          <t>Jedes produktive Dashboard hat einen benannten Anwendervertreter.</t>
        </is>
      </c>
    </row>
    <row r="21">
      <c r="K21" s="143" t="inlineStr">
        <is>
          <t>So wird eingestuft (HERMES zugeschnitten)</t>
        </is>
      </c>
    </row>
    <row r="22">
      <c r="K22" s="144" t="inlineStr">
        <is>
          <t>Stufe</t>
        </is>
      </c>
      <c r="L22" s="144" t="inlineStr">
        <is>
          <t>Aufwand</t>
        </is>
      </c>
      <c r="M22" s="144" t="inlineStr">
        <is>
          <t>Vorgehen</t>
        </is>
      </c>
    </row>
    <row r="23">
      <c r="K23" s="145" t="inlineStr">
        <is>
          <t>Kleinauftrag</t>
        </is>
      </c>
      <c r="L23" s="146" t="inlineStr">
        <is>
          <t>unter ca. 5 Personentage</t>
        </is>
      </c>
      <c r="M23" s="146" t="inlineStr">
        <is>
          <t>Ticket, keine HERMES-Dokumente</t>
        </is>
      </c>
    </row>
    <row r="24">
      <c r="K24" s="147" t="inlineStr">
        <is>
          <t>Vorhaben</t>
        </is>
      </c>
      <c r="L24" s="146" t="inlineStr">
        <is>
          <t>ca. 5 bis 40 Personentage</t>
        </is>
      </c>
      <c r="M24" s="146" t="inlineStr">
        <is>
          <t>Auftrag, Abnahme, Statuszeile</t>
        </is>
      </c>
    </row>
    <row r="25">
      <c r="K25" s="148" t="inlineStr">
        <is>
          <t>Projekt</t>
        </is>
      </c>
      <c r="L25" s="146" t="inlineStr">
        <is>
          <t>über ca. 40 Personentage</t>
        </is>
      </c>
      <c r="M25" s="146" t="inlineStr">
        <is>
          <t>HERMES zugeschnitten, mit Risikoliste, eventuell Ausschuss</t>
        </is>
      </c>
    </row>
    <row r="27" ht="28" customHeight="1" s="62">
      <c r="K27" s="149" t="inlineStr">
        <is>
          <t>① Freigabe</t>
        </is>
      </c>
      <c r="L27" s="61" t="inlineStr">
        <is>
          <t>Der Auftraggeber hat den Projektauftrag unterschrieben.</t>
        </is>
      </c>
    </row>
    <row r="28" ht="28" customHeight="1" s="62">
      <c r="K28" s="149" t="inlineStr">
        <is>
          <t>② Abnahme</t>
        </is>
      </c>
      <c r="L28" s="61" t="inlineStr">
        <is>
          <t>Der Anwendervertreter bestätigt fachlich, das Ergebnis ist produktiv.</t>
        </is>
      </c>
    </row>
    <row r="29" ht="28" customHeight="1" s="62">
      <c r="K29" s="149" t="inlineStr">
        <is>
          <t>③ Abschluss</t>
        </is>
      </c>
      <c r="L29" s="61" t="inlineStr">
        <is>
          <t>Übergeben in den Betrieb, mit kurzer Betriebsdokumentation.</t>
        </is>
      </c>
    </row>
    <row r="30" ht="28" customHeight="1" s="62">
      <c r="K30" s="149" t="inlineStr">
        <is>
          <t>✔ / ○</t>
        </is>
      </c>
      <c r="L30" s="61" t="inlineStr">
        <is>
          <t>Erledigt mit Datum / noch offen.</t>
        </is>
      </c>
    </row>
    <row r="31" ht="28" customHeight="1" s="62">
      <c r="K31" s="149" t="inlineStr">
        <is>
          <t>⚠ festlegen</t>
        </is>
      </c>
      <c r="L31" s="61" t="inlineStr">
        <is>
          <t>Die Rolle ist noch niemandem zugeordnet.</t>
        </is>
      </c>
    </row>
    <row r="32" ht="40" customHeight="1" s="62">
      <c r="K32" s="149" t="inlineStr">
        <is>
          <t>● Ampel</t>
        </is>
      </c>
      <c r="L32" s="61" t="inlineStr">
        <is>
          <t>Grün im Plan · Gelb wartet auf Entscheid oder Zulieferung · Rot blockiert oder Termin überschritten · Grau neu, noch ohne Stand.</t>
        </is>
      </c>
    </row>
  </sheetData>
  <mergeCells count="21">
    <mergeCell ref="L32:M32"/>
    <mergeCell ref="C5:D5"/>
    <mergeCell ref="E5:F5"/>
    <mergeCell ref="K5:L5"/>
    <mergeCell ref="L28:M28"/>
    <mergeCell ref="C4:D4"/>
    <mergeCell ref="E4:F4"/>
    <mergeCell ref="L30:M30"/>
    <mergeCell ref="L29:M29"/>
    <mergeCell ref="A1:M1"/>
    <mergeCell ref="A5:B5"/>
    <mergeCell ref="G5:H5"/>
    <mergeCell ref="I5:J5"/>
    <mergeCell ref="L31:M31"/>
    <mergeCell ref="A4:B4"/>
    <mergeCell ref="G4:H4"/>
    <mergeCell ref="I4:J4"/>
    <mergeCell ref="K21:M21"/>
    <mergeCell ref="L27:M27"/>
    <mergeCell ref="K4:L4"/>
    <mergeCell ref="A2:M2"/>
  </mergeCells>
  <conditionalFormatting sqref="J8:J19">
    <cfRule type="dataBar" priority="1">
      <dataBar showValue="1">
        <cfvo type="num" val="0"/>
        <cfvo type="max"/>
        <color rgb="005B9BD5"/>
      </dataBar>
    </cfRule>
  </conditionalFormatting>
  <pageMargins left="0.75" right="0.75" top="1" bottom="1" header="0.5" footer="0.5"/>
  <pageSetup orientation="landscape" paperSize="9"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14"/>
  <sheetViews>
    <sheetView tabSelected="0" workbookViewId="0">
      <pane ySplit="1" topLeftCell="A2" activePane="bottomLeft" state="frozenSplit"/>
      <selection pane="bottomLeft" activeCell="A1" sqref="A1"/>
    </sheetView>
  </sheetViews>
  <sheetFormatPr baseColWidth="10" defaultColWidth="9.140625" defaultRowHeight="15"/>
  <cols>
    <col width="10.7109375" customWidth="1" style="62" min="1" max="1"/>
    <col width="42.7109375" customWidth="1" style="62" min="2" max="2"/>
    <col width="9.7109375" customWidth="1" style="62" min="3" max="3"/>
    <col width="13.7109375" customWidth="1" style="62" min="4" max="4"/>
    <col width="55.7109375" customWidth="1" style="62" min="5" max="6"/>
  </cols>
  <sheetData>
    <row r="1" ht="21.95" customHeight="1" s="62">
      <c r="A1" s="4" t="inlineStr">
        <is>
          <t>ID</t>
        </is>
      </c>
      <c r="B1" s="4" t="inlineStr">
        <is>
          <t>Thema</t>
        </is>
      </c>
      <c r="C1" s="4" t="inlineStr">
        <is>
          <t>Prio</t>
        </is>
      </c>
      <c r="D1" s="4" t="inlineStr">
        <is>
          <t>Fortschritt</t>
        </is>
      </c>
      <c r="E1" s="4" t="inlineStr">
        <is>
          <t>Kurzstatus</t>
        </is>
      </c>
      <c r="F1" s="4" t="inlineStr">
        <is>
          <t>Naechster Schritt</t>
        </is>
      </c>
    </row>
    <row r="2" ht="33.95" customHeight="1" s="62">
      <c r="A2" s="5" t="inlineStr">
        <is>
          <t>PM-01</t>
        </is>
      </c>
      <c r="B2" s="2" t="inlineStr">
        <is>
          <t>ZLO03: fehlende Materialien und falsche Mengen</t>
        </is>
      </c>
      <c r="C2" s="1" t="inlineStr">
        <is>
          <t>Hoch</t>
        </is>
      </c>
      <c r="D2" s="6" t="n">
        <v>0.6</v>
      </c>
      <c r="E2" s="2" t="inlineStr">
        <is>
          <t>Fixes 10-18 fertig; Diagnoselauf p_diag und Regressionstest stehen aus.</t>
        </is>
      </c>
      <c r="F2" s="2" t="inlineStr">
        <is>
          <t>Diagnoselauf p_diag und Regressionstest, danach Transport nach B76; Ann-Katrin Michel vorwarnen (Spalte Exklusiv liefert auch "?").</t>
        </is>
      </c>
    </row>
    <row r="3" ht="33.95" customHeight="1" s="62">
      <c r="A3" s="5" t="inlineStr">
        <is>
          <t>PM-02</t>
        </is>
      </c>
      <c r="B3" s="2" t="inlineStr">
        <is>
          <t>ZC12: Fehler bei Nullmengen</t>
        </is>
      </c>
      <c r="C3" s="3" t="inlineStr">
        <is>
          <t>Mittel</t>
        </is>
      </c>
      <c r="D3" s="6" t="n">
        <v>0.4</v>
      </c>
      <c r="E3" s="2" t="inlineStr">
        <is>
          <t>ZC12 = ZM_ABGLEICH_KTSCH geklaert; Entscheid 07.09.: Tracing scharf schalten. Geaenderte Fassung (p_debug aktiv) liegt bereit, in T76 noch nicht gesichert (Stand 01.10.).</t>
        </is>
      </c>
      <c r="F3" s="2" t="inlineStr">
        <is>
          <t>Fassung in T76 sichern und aktivieren (Ingo), dann Nullmengenfall mit p_debug tracen.</t>
        </is>
      </c>
    </row>
    <row r="4" ht="33.95" customHeight="1" s="62">
      <c r="A4" s="5" t="inlineStr">
        <is>
          <t>PM-03</t>
        </is>
      </c>
      <c r="B4" s="2" t="inlineStr">
        <is>
          <t>ZZPRDAT: Produktionsdatum am Fertigungsauftrag</t>
        </is>
      </c>
      <c r="C4" s="1" t="inlineStr">
        <is>
          <t>Hoch</t>
        </is>
      </c>
      <c r="D4" s="6" t="n">
        <v>0.8</v>
      </c>
      <c r="E4" s="2" t="inlineStr">
        <is>
          <t>In T76 umgesetzt und getestet, Pruefbericht Z_ZZPRDAT_CHECK am 07.09. korrigiert; Abnahme offen.</t>
        </is>
      </c>
      <c r="F4" s="2" t="inlineStr">
        <is>
          <t>Test mit Lucas, Marco und Adil am 12.10.2026 16:00; danach Abnahme und Transport nach P76.</t>
        </is>
      </c>
    </row>
    <row r="5" ht="33.95" customHeight="1" s="62">
      <c r="A5" s="5" t="inlineStr">
        <is>
          <t>PM-04</t>
        </is>
      </c>
      <c r="B5" s="2" t="inlineStr">
        <is>
          <t>Einkauf: Spend-Dashboard mit Drilldown</t>
        </is>
      </c>
      <c r="C5" s="3" t="inlineStr">
        <is>
          <t>Mittel</t>
        </is>
      </c>
      <c r="D5" s="6" t="n">
        <v>0.95</v>
      </c>
      <c r="E5" s="2" t="inlineStr">
        <is>
          <t>Produktiv. Seit 01.10.: Texte D1/D5 im Dashboard; nach "Delta aktualisieren" sofort alter Stand mit Hinweis.</t>
        </is>
      </c>
      <c r="F5" s="2" t="inlineStr">
        <is>
          <t>Entscheid SEGW-Key (Empfehlung: nicht umsetzen); spaeter Abfragen buendeln (Tempo, Variante b).</t>
        </is>
      </c>
    </row>
    <row r="6" ht="33.95" customHeight="1" s="62">
      <c r="A6" s="5" t="inlineStr">
        <is>
          <t>PM-05</t>
        </is>
      </c>
      <c r="B6" s="2" t="inlineStr">
        <is>
          <t>Finance: alle Daten in einem zentralen Excel</t>
        </is>
      </c>
      <c r="C6" s="3" t="inlineStr">
        <is>
          <t>Mittel</t>
        </is>
      </c>
      <c r="D6" s="6" t="n">
        <v>0.85</v>
      </c>
      <c r="E6" s="2" t="inlineStr">
        <is>
          <t>Produktiv; Journal CH/AT seit 01.10. in P76, Ladelauf offen. Mehrere Fachentscheide liegen bei Andreas (ISS-018, ISS-022, ISS-024).</t>
        </is>
      </c>
      <c r="F6" s="2" t="inlineStr">
        <is>
          <t>Journal-Ladelauf CH/AT ausloesen; Entscheide mit Andreas.</t>
        </is>
      </c>
    </row>
    <row r="7" ht="33.95" customHeight="1" s="62">
      <c r="A7" s="5" t="inlineStr">
        <is>
          <t>PM-06</t>
        </is>
      </c>
      <c r="B7" s="2" t="inlineStr">
        <is>
          <t>PPWR und Stoffcompliance ueber SAP-Klassifizierung</t>
        </is>
      </c>
      <c r="C7" s="3" t="inlineStr">
        <is>
          <t>Mittel</t>
        </is>
      </c>
      <c r="D7" s="6" t="n">
        <v>1</v>
      </c>
      <c r="E7" s="2" t="inlineStr">
        <is>
          <t>Erledigt 2026-08-20 laut Ingo: Pilotmaterialien zugeordnet, CL30N-Abnahme gefahren.</t>
        </is>
      </c>
      <c r="F7" s="2" t="inlineStr">
        <is>
          <t>Keiner. P76-Transport bleibt gemaess Anlageprotokoll bis zur Fachfreigabe gesperrt.</t>
        </is>
      </c>
    </row>
    <row r="8" ht="33.95" customHeight="1" s="62">
      <c r="A8" s="5" t="inlineStr">
        <is>
          <t>PM-07</t>
        </is>
      </c>
      <c r="B8" s="2" t="inlineStr">
        <is>
          <t>HR: automatische Auswertung der REXX-Files</t>
        </is>
      </c>
      <c r="C8" s="3" t="inlineStr">
        <is>
          <t>Mittel</t>
        </is>
      </c>
      <c r="D8" s="6" t="n">
        <v>0.6</v>
      </c>
      <c r="E8" s="2" t="inlineStr">
        <is>
          <t>HR-Cockpit produktiv; seit 01.10. taeglich aus SAP: HR-Felder (HrKpiSet) und Absenzen je Fall (HrAbsenzSet, Krankenquote periodengenau). Rexx-Dateien noch vom 08.07.</t>
        </is>
      </c>
      <c r="F8" s="2" t="inlineStr">
        <is>
          <t>Upgreat: taegliche Rexx-Exporte; Sonja: Krankheitsarten bestaetigen, Mail senden.</t>
        </is>
      </c>
    </row>
    <row r="9" ht="33.95" customHeight="1" s="62">
      <c r="A9" s="5" t="inlineStr">
        <is>
          <t>PM-08</t>
        </is>
      </c>
      <c r="B9" s="2" t="inlineStr">
        <is>
          <t>Railway: Bahnmarkt Deutschland</t>
        </is>
      </c>
      <c r="C9" s="1" t="inlineStr">
        <is>
          <t>Hoch</t>
        </is>
      </c>
      <c r="D9" s="6" t="n">
        <v>0.7</v>
      </c>
      <c r="E9" s="2" t="inlineStr">
        <is>
          <t>DE-Bahnumsatz belegt (2025 rund 579 TEUR); Gesamtsicht aller Standorte am 29.09. erstellt; 171 Vorschlaege anderer Standorte offen.</t>
        </is>
      </c>
      <c r="F9" s="2" t="inlineStr">
        <is>
          <t>Top 15 mit Andreas und Patrik bestaetigen; DB4-Definition mit Andreas und Rohail, erst dann Termin.</t>
        </is>
      </c>
    </row>
    <row r="10" ht="33.95" customHeight="1" s="62">
      <c r="A10" s="5" t="inlineStr">
        <is>
          <t>-</t>
        </is>
      </c>
      <c r="B10" s="2" t="inlineStr">
        <is>
          <t>Einkauf: Lagerwert der Einkaufsteile (Wunsch Armin)</t>
        </is>
      </c>
      <c r="C10" s="3" t="inlineStr">
        <is>
          <t>Mittel</t>
        </is>
      </c>
      <c r="D10" s="6" t="n">
        <v>1</v>
      </c>
      <c r="E10" s="2" t="inlineStr">
        <is>
          <t>Erledigt: Wochenverlauf produktiv, Tagesstaende seit 28.09. (rund 11,2 Mio. CHF, Bewertungskreis 1100).</t>
        </is>
      </c>
      <c r="F10" s="2" t="inlineStr">
        <is>
          <t>Keiner.</t>
        </is>
      </c>
    </row>
    <row r="11" ht="33.95" customHeight="1" s="62">
      <c r="A11" s="5" t="inlineStr">
        <is>
          <t>ISS-004.2</t>
        </is>
      </c>
      <c r="B11" s="2" t="inlineStr">
        <is>
          <t>Finance ES: PostingDate Spanien</t>
        </is>
      </c>
      <c r="C11" s="3" t="inlineStr">
        <is>
          <t>Mittel</t>
        </is>
      </c>
      <c r="D11" s="6" t="n">
        <v>0.75</v>
      </c>
      <c r="E11" s="2" t="inlineStr">
        <is>
          <t>Spaltenzuordnung und Nachtrag Januar-Mai sind erledigt; Tagesprozess extern offen.</t>
        </is>
      </c>
      <c r="F11" s="2" t="inlineStr">
        <is>
          <t>Wartet auf serverseitigen Tausch der Sage-Exportversion (7 auf 35 Tage).</t>
        </is>
      </c>
    </row>
    <row r="13">
      <c r="A13" s="84" t="inlineStr">
        <is>
          <t>Hinweis: Fortschritt ist eine Einschaetzung aus dem Text der Quellen, keine gemessene Kennzahl.</t>
        </is>
      </c>
    </row>
    <row r="14">
      <c r="A14" s="84" t="inlineStr">
        <is>
          <t>Quellen: projektmanagement/PROJEKTSTATUS.md, projektmanagement/Wochen_Todo.tsv, docs/Issue_Log_Konsolidiert_2026-08-12.tsv. Von Hand nachgefuehrt am 01.10.2026.</t>
        </is>
      </c>
    </row>
  </sheetData>
  <mergeCells count="2">
    <mergeCell ref="A13:F13"/>
    <mergeCell ref="A14:F14"/>
  </mergeCells>
  <conditionalFormatting sqref="D2:D11">
    <cfRule type="dataBar" priority="1">
      <dataBar>
        <cfvo type="min"/>
        <cfvo type="max"/>
        <color rgb="FF1F77B4"/>
      </dataBar>
    </cfRule>
  </conditionalFormatting>
  <pageMargins left="0.75" right="0.75" top="0.75" bottom="0.5" header="0.5" footer="0.75"/>
</worksheet>
</file>

<file path=xl/worksheets/sheet3.xml><?xml version="1.0" encoding="utf-8"?>
<worksheet xmlns="http://schemas.openxmlformats.org/spreadsheetml/2006/main">
  <sheetPr filterMode="1">
    <outlinePr summaryBelow="1" summaryRight="1"/>
    <pageSetUpPr/>
  </sheetPr>
  <dimension ref="A1:M119"/>
  <sheetViews>
    <sheetView tabSelected="0" workbookViewId="0">
      <pane ySplit="1" topLeftCell="A2" activePane="bottomLeft" state="frozen"/>
      <selection pane="bottomLeft" activeCell="J114" sqref="A114:J114"/>
    </sheetView>
  </sheetViews>
  <sheetFormatPr baseColWidth="10" defaultColWidth="9.140625" defaultRowHeight="15"/>
  <cols>
    <col width="5" customWidth="1" style="62" min="1" max="1"/>
    <col width="14" customWidth="1" style="62" min="2" max="2"/>
    <col width="20" customWidth="1" style="62" min="3" max="3"/>
    <col width="8" customWidth="1" style="62" min="4" max="4"/>
    <col width="30" customWidth="1" style="62" min="5" max="5"/>
    <col width="10" customWidth="1" style="62" min="6" max="6"/>
    <col width="8" customWidth="1" style="62" min="7" max="7"/>
    <col width="12" customWidth="1" style="62" min="8" max="9"/>
    <col width="12" customWidth="1" style="62" min="9" max="9"/>
    <col width="90" customWidth="1" style="62" min="10" max="10"/>
    <col width="13" customWidth="1" style="62" min="11" max="11"/>
    <col width="10" customWidth="1" style="62" min="12" max="12"/>
    <col width="14" customWidth="1" style="62" min="13" max="13"/>
  </cols>
  <sheetData>
    <row r="1" ht="26.1" customHeight="1" s="62">
      <c r="A1" s="150" t="inlineStr">
        <is>
          <t>Nr</t>
        </is>
      </c>
      <c r="B1" s="150" t="inlineStr">
        <is>
          <t>Dringlichkeit</t>
        </is>
      </c>
      <c r="C1" s="150" t="inlineStr">
        <is>
          <t>Bereich</t>
        </is>
      </c>
      <c r="D1" s="150" t="inlineStr">
        <is>
          <t>ID</t>
        </is>
      </c>
      <c r="E1" s="150" t="inlineStr">
        <is>
          <t>Thema</t>
        </is>
      </c>
      <c r="F1" s="150" t="inlineStr">
        <is>
          <t>Wer</t>
        </is>
      </c>
      <c r="G1" s="150" t="inlineStr">
        <is>
          <t>Prio</t>
        </is>
      </c>
      <c r="H1" s="150" t="inlineStr">
        <is>
          <t>Status</t>
        </is>
      </c>
      <c r="I1" s="150" t="inlineStr">
        <is>
          <t>Fällig</t>
        </is>
      </c>
      <c r="J1" s="150" t="inlineStr">
        <is>
          <t>Nächster Schritt</t>
        </is>
      </c>
      <c r="K1" s="150" t="inlineStr">
        <is>
          <t>Erledigt am</t>
        </is>
      </c>
      <c r="L1" s="150" t="inlineStr">
        <is>
          <t>Vorhaben</t>
        </is>
      </c>
      <c r="M1" s="150" t="inlineStr">
        <is>
          <t>HERMES-Stufe</t>
        </is>
      </c>
    </row>
    <row r="2" hidden="1" ht="45" customHeight="1" s="62">
      <c r="A2" s="7" t="inlineStr">
        <is>
          <t>1</t>
        </is>
      </c>
      <c r="B2" s="7" t="inlineStr">
        <is>
          <t>Erledigt</t>
        </is>
      </c>
      <c r="C2" s="7" t="inlineStr">
        <is>
          <t>Finance ES</t>
        </is>
      </c>
      <c r="D2" s="7" t="inlineStr">
        <is>
          <t>ISS-004.2</t>
        </is>
      </c>
      <c r="E2" s="7" t="inlineStr">
        <is>
          <t>Spanien Buchungsdatum</t>
        </is>
      </c>
      <c r="F2" s="7" t="inlineStr">
        <is>
          <t>Ingo</t>
        </is>
      </c>
      <c r="G2" s="7" t="inlineStr">
        <is>
          <t>Mittel</t>
        </is>
      </c>
      <c r="H2" s="151" t="inlineStr">
        <is>
          <t>Erledigt</t>
        </is>
      </c>
      <c r="I2" s="7" t="inlineStr"/>
      <c r="J2" s="7" t="inlineStr">
        <is>
          <t>Entscheid 02.09.2026: Die 7-Tage-Version bleibt im Einsatz; Finance verwendet fuer Spanien InvoiceDate. Kein Wechsel auf die 35-Tage-Version und keine weitere Aktion bei Santi erforderlich.</t>
        </is>
      </c>
      <c r="K2" s="7" t="inlineStr">
        <is>
          <t>02.09.2026</t>
        </is>
      </c>
      <c r="L2" s="7" t="inlineStr">
        <is>
          <t>PM-05</t>
        </is>
      </c>
      <c r="M2" s="152" t="inlineStr">
        <is>
          <t>Projekt</t>
        </is>
      </c>
    </row>
    <row r="3" hidden="1" ht="30" customHeight="1" s="62">
      <c r="A3" s="7" t="inlineStr">
        <is>
          <t>2</t>
        </is>
      </c>
      <c r="B3" s="7" t="inlineStr">
        <is>
          <t>Nur terminieren</t>
        </is>
      </c>
      <c r="C3" s="7" t="inlineStr">
        <is>
          <t>Finance ES</t>
        </is>
      </c>
      <c r="D3" s="7" t="inlineStr">
        <is>
          <t>ISS-004.1</t>
        </is>
      </c>
      <c r="E3" s="7" t="inlineStr">
        <is>
          <t>Spanien Januar bis Mai 2026</t>
        </is>
      </c>
      <c r="F3" s="7" t="inlineStr">
        <is>
          <t>Ingo</t>
        </is>
      </c>
      <c r="G3" s="7" t="inlineStr">
        <is>
          <t>Mittel</t>
        </is>
      </c>
      <c r="H3" s="151" t="inlineStr">
        <is>
          <t>Erledigt</t>
        </is>
      </c>
      <c r="I3" s="7" t="inlineStr"/>
      <c r="J3" s="7" t="inlineStr">
        <is>
          <t>Nachtrag und Import am 18.08.2026 bestätigt; keine Aktion</t>
        </is>
      </c>
      <c r="K3" s="7" t="inlineStr"/>
      <c r="L3" s="7" t="inlineStr">
        <is>
          <t>PM-05</t>
        </is>
      </c>
      <c r="M3" s="152" t="inlineStr">
        <is>
          <t>Projekt</t>
        </is>
      </c>
    </row>
    <row r="4" hidden="1" ht="180" customHeight="1" s="62">
      <c r="A4" s="7" t="inlineStr">
        <is>
          <t>3</t>
        </is>
      </c>
      <c r="B4" s="7" t="inlineStr">
        <is>
          <t>Heute</t>
        </is>
      </c>
      <c r="C4" s="7" t="inlineStr">
        <is>
          <t>SAP ZC12</t>
        </is>
      </c>
      <c r="D4" s="7" t="inlineStr">
        <is>
          <t>PM-02</t>
        </is>
      </c>
      <c r="E4" s="7" t="inlineStr">
        <is>
          <t>ZC12 Fehler bei Nullmengen</t>
        </is>
      </c>
      <c r="F4" s="7" t="inlineStr">
        <is>
          <t>Ingo</t>
        </is>
      </c>
      <c r="G4" s="7" t="inlineStr">
        <is>
          <t>Mittel</t>
        </is>
      </c>
      <c r="H4" s="153" t="inlineStr">
        <is>
          <t>Läuft</t>
        </is>
      </c>
      <c r="I4" s="7" t="inlineStr"/>
      <c r="J4" s="7" t="inlineStr">
        <is>
          <t>Vorfrage am 04.09.2026 beantwortet: ZC12 ist eine Reporttransaktion auf ZM_ABGLEICH_KTSCH; der Quelltext nennt sich selbst falsch Z_ABGLEICH_KTSCH. Version 3 vom 18.05.2026 ist der komplette Neuaufbau, laut eigener Kopfhistorie vom 28.-30.04.2026 durch I.Kohler; fmt_quan gehört dazu, also Testlücke statt Regression. Die Trace-Infrastruktur samt auskommentiertem p_debug hat KOI am 27.05.2026 eingebaut. Entscheid vom 07.09.2026: scharf schalten. Die geänderte Fassung liegt als saptasks/zc12/ZM_ABGLEICH_KTSCH_nachher.abap, ist aber NOCH NICHT im System - das Zurückschreiben hat der Berechtigungsfilter abgelehnt und muss von Hand abgesetzt werden. Danach den Nullmengenfall tracen; das Trace-Log landet auf dem Applikationsserver unter /tmp, nicht auf dem Arbeitsplatz. Stand 01.10.: T76 hat weiter den vorher-Stand; der Versuch, die Fassung per Skript zu sichern, wurde erneut von der Freigabe-Sperre abgelehnt. Ingo sichert und aktiviert in SE38. Entscheid Ingo 2026-10-01 15:13: Editor in T76 so lassen, nichts tun.</t>
        </is>
      </c>
      <c r="K4" s="7" t="inlineStr"/>
      <c r="L4" s="7" t="inlineStr">
        <is>
          <t>PM-02</t>
        </is>
      </c>
      <c r="M4" s="154" t="inlineStr">
        <is>
          <t>Kleinauftrag</t>
        </is>
      </c>
    </row>
    <row r="5" hidden="1" ht="30" customHeight="1" s="62">
      <c r="A5" s="7" t="inlineStr">
        <is>
          <t>4</t>
        </is>
      </c>
      <c r="B5" s="7" t="inlineStr">
        <is>
          <t>Erledigt</t>
        </is>
      </c>
      <c r="C5" s="7" t="inlineStr">
        <is>
          <t>Finance FR</t>
        </is>
      </c>
      <c r="D5" s="7" t="inlineStr">
        <is>
          <t>ISS-001.2</t>
        </is>
      </c>
      <c r="E5" s="7" t="inlineStr">
        <is>
          <t>Datenzufluss TR FR</t>
        </is>
      </c>
      <c r="F5" s="7" t="inlineStr">
        <is>
          <t>Frankreich / Ingo</t>
        </is>
      </c>
      <c r="G5" s="7" t="inlineStr">
        <is>
          <t>Hoch</t>
        </is>
      </c>
      <c r="H5" s="151" t="inlineStr">
        <is>
          <t>Erledigt</t>
        </is>
      </c>
      <c r="I5" s="7" t="inlineStr"/>
      <c r="J5" s="7" t="inlineStr">
        <is>
          <t>Gemessen am 29.09.2026 in Sales_All_2026-09-29.xlsx: Frankreich liefert wieder, Rechnungen bis 28.09.2026, 140 Zeilen seit 01.08. Keine Eskalation mehr nötig.</t>
        </is>
      </c>
      <c r="K5" s="7" t="inlineStr">
        <is>
          <t>29.09.2026</t>
        </is>
      </c>
      <c r="L5" s="7" t="inlineStr">
        <is>
          <t>PM-05</t>
        </is>
      </c>
      <c r="M5" s="152" t="inlineStr">
        <is>
          <t>Projekt</t>
        </is>
      </c>
    </row>
    <row r="6" hidden="1" ht="30" customHeight="1" s="62">
      <c r="A6" s="7" t="inlineStr">
        <is>
          <t>5</t>
        </is>
      </c>
      <c r="B6" s="7" t="inlineStr">
        <is>
          <t>Hoch, haengt an anderen</t>
        </is>
      </c>
      <c r="C6" s="7" t="inlineStr">
        <is>
          <t>Finance CH/AT</t>
        </is>
      </c>
      <c r="D6" s="7" t="inlineStr">
        <is>
          <t>ISS-003.4</t>
        </is>
      </c>
      <c r="E6" s="7" t="inlineStr">
        <is>
          <t>Herstellerregel CH/AT</t>
        </is>
      </c>
      <c r="F6" s="7" t="inlineStr">
        <is>
          <t>Andreas</t>
        </is>
      </c>
      <c r="G6" s="7" t="inlineStr">
        <is>
          <t>Hoch</t>
        </is>
      </c>
      <c r="H6" s="7" t="inlineStr">
        <is>
          <t>Wartet auf Entscheid</t>
        </is>
      </c>
      <c r="I6" s="7" t="inlineStr"/>
      <c r="J6" s="7" t="inlineStr">
        <is>
          <t>Produktiven Schalter in Settings vergleichen; Andreas entscheidet, ob Fremdbezug die Herstellerregel als Ausnahme bricht (Default bleibt bisherige Regel)</t>
        </is>
      </c>
      <c r="K6" s="7" t="inlineStr"/>
      <c r="L6" s="7" t="inlineStr">
        <is>
          <t>PM-05</t>
        </is>
      </c>
      <c r="M6" s="152" t="inlineStr">
        <is>
          <t>Projekt</t>
        </is>
      </c>
    </row>
    <row r="7" hidden="1" ht="30" customHeight="1" s="62">
      <c r="A7" s="7" t="inlineStr">
        <is>
          <t>6</t>
        </is>
      </c>
      <c r="B7" s="7" t="inlineStr">
        <is>
          <t>Hoch, haengt an anderen</t>
        </is>
      </c>
      <c r="C7" s="7" t="inlineStr">
        <is>
          <t>Finance Gruppenmarge</t>
        </is>
      </c>
      <c r="D7" s="7" t="inlineStr">
        <is>
          <t>ISS-009</t>
        </is>
      </c>
      <c r="E7" s="7" t="inlineStr">
        <is>
          <t>Fachfreigabe Gruppenmarge</t>
        </is>
      </c>
      <c r="F7" s="7" t="inlineStr">
        <is>
          <t>Andreas</t>
        </is>
      </c>
      <c r="G7" s="7" t="inlineStr">
        <is>
          <t>Mittel</t>
        </is>
      </c>
      <c r="H7" s="155" t="inlineStr">
        <is>
          <t>Offen</t>
        </is>
      </c>
      <c r="I7" s="7" t="inlineStr"/>
      <c r="J7" s="7" t="inlineStr">
        <is>
          <t>Termin mit Andreas, Punkt 2 von 3</t>
        </is>
      </c>
      <c r="K7" s="7" t="inlineStr"/>
      <c r="L7" s="7" t="inlineStr">
        <is>
          <t>PM-05</t>
        </is>
      </c>
      <c r="M7" s="152" t="inlineStr">
        <is>
          <t>Projekt</t>
        </is>
      </c>
    </row>
    <row r="8" hidden="1" ht="30" customHeight="1" s="62">
      <c r="A8" s="7" t="inlineStr">
        <is>
          <t>7</t>
        </is>
      </c>
      <c r="B8" s="7" t="inlineStr">
        <is>
          <t>Hoch, haengt an anderen</t>
        </is>
      </c>
      <c r="C8" s="7" t="inlineStr">
        <is>
          <t>Finance Abgrenzung</t>
        </is>
      </c>
      <c r="D8" s="7" t="inlineStr">
        <is>
          <t>ISS-010</t>
        </is>
      </c>
      <c r="E8" s="7" t="inlineStr">
        <is>
          <t>Innenumsatz / Doppelzählung</t>
        </is>
      </c>
      <c r="F8" s="7" t="inlineStr">
        <is>
          <t>Andreas</t>
        </is>
      </c>
      <c r="G8" s="7" t="inlineStr">
        <is>
          <t>Mittel</t>
        </is>
      </c>
      <c r="H8" s="155" t="inlineStr">
        <is>
          <t>Offen</t>
        </is>
      </c>
      <c r="I8" s="7" t="inlineStr"/>
      <c r="J8" s="7" t="inlineStr">
        <is>
          <t>Termin mit Andreas, Punkt 3 von 3</t>
        </is>
      </c>
      <c r="K8" s="7" t="inlineStr"/>
      <c r="L8" s="7" t="inlineStr">
        <is>
          <t>PM-05</t>
        </is>
      </c>
      <c r="M8" s="152" t="inlineStr">
        <is>
          <t>Projekt</t>
        </is>
      </c>
    </row>
    <row r="9" hidden="1" ht="30" customHeight="1" s="62">
      <c r="A9" s="7" t="inlineStr">
        <is>
          <t>8</t>
        </is>
      </c>
      <c r="B9" s="7" t="inlineStr">
        <is>
          <t>Hoch, haengt an anderen</t>
        </is>
      </c>
      <c r="C9" s="7" t="inlineStr">
        <is>
          <t>Finance CH/AT</t>
        </is>
      </c>
      <c r="D9" s="7" t="inlineStr">
        <is>
          <t>ISS-003.5</t>
        </is>
      </c>
      <c r="E9" s="7" t="inlineStr">
        <is>
          <t>Supplier-Fallback je Land</t>
        </is>
      </c>
      <c r="F9" s="7" t="inlineStr">
        <is>
          <t>Andreas</t>
        </is>
      </c>
      <c r="G9" s="7" t="inlineStr">
        <is>
          <t>Niedrig</t>
        </is>
      </c>
      <c r="H9" s="151" t="inlineStr">
        <is>
          <t>Erledigt</t>
        </is>
      </c>
      <c r="I9" s="7" t="inlineStr"/>
      <c r="J9" s="7" t="inlineStr">
        <is>
          <t>Entschieden am 27.08.2026: steht kein Lieferant, gelten die lokalen Standardkosten der verkaufenden Gesellschaft; keine Aufteilung je Land</t>
        </is>
      </c>
      <c r="K9" s="7" t="inlineStr"/>
      <c r="L9" s="7" t="inlineStr">
        <is>
          <t>PM-05</t>
        </is>
      </c>
      <c r="M9" s="152" t="inlineStr">
        <is>
          <t>Projekt</t>
        </is>
      </c>
    </row>
    <row r="10" ht="120" customHeight="1" s="62">
      <c r="A10" s="7" t="inlineStr">
        <is>
          <t>9</t>
        </is>
      </c>
      <c r="B10" s="7" t="inlineStr">
        <is>
          <t>Heute</t>
        </is>
      </c>
      <c r="C10" s="7" t="inlineStr">
        <is>
          <t>SAP ZLO03</t>
        </is>
      </c>
      <c r="D10" s="7" t="inlineStr">
        <is>
          <t>PM-01</t>
        </is>
      </c>
      <c r="E10" s="7" t="inlineStr">
        <is>
          <t>ZLO03 Mengen und Materialien</t>
        </is>
      </c>
      <c r="F10" s="7" t="inlineStr">
        <is>
          <t>Ingo</t>
        </is>
      </c>
      <c r="G10" s="7" t="inlineStr">
        <is>
          <t>Hoch</t>
        </is>
      </c>
      <c r="H10" s="7" t="inlineStr">
        <is>
          <t>Wartet auf Import</t>
        </is>
      </c>
      <c r="I10" s="7" t="inlineStr"/>
      <c r="J10" s="7" t="inlineStr">
        <is>
          <t>20.10.: T76K912742 enthaelt jetzt auch FIX 19 (REACH/SVHC/PFAS, Zeile 114); Import bringt beide | 19.10.: Ingo gibt T76K912742 frei und importiert nach P76, danach 8475 Top-Down in P76 kurz pruefen und Ann-Katrin antworten (Entwurf 16.10.) | 19.10.: FIX 12 in T76 mit nachgestelltem Fall bestaetigt (alt: B63485 fehlt, neu: MK 5009 wie ZMD04_CALC, sonst gleich); T76K912742 bereit fuer P76 (Ingo). | 16.10.: Mechanismus MK-Abweichung B63485 in P76 belegt (Textpositionen in 46123/24/26/28, Kennzahlen nur beim ersten Treffer), Nachweis am Fall erst nach Import. FIX 12 in Z_ZLO03_TURBO2 T76 aktiv, Transport T76K912742: Ingo freigeben/importieren, dann in P76 testen und Ann-Katrin antworten. Fixes 10/11/15 weiter nur lokal. zlo03/MK_B63485_FIX12_2026-10-16.md | vorher: Diagnoselauf p_diag und Regressionstest, danach Transport nach B76</t>
        </is>
      </c>
      <c r="K10" s="7" t="inlineStr"/>
      <c r="L10" s="7" t="inlineStr">
        <is>
          <t>PM-01</t>
        </is>
      </c>
      <c r="M10" s="156" t="inlineStr">
        <is>
          <t>Vorhaben</t>
        </is>
      </c>
    </row>
    <row r="11" hidden="1" ht="75" customHeight="1" s="62">
      <c r="A11" s="7" t="inlineStr">
        <is>
          <t>10</t>
        </is>
      </c>
      <c r="B11" s="7" t="inlineStr">
        <is>
          <t>Heute</t>
        </is>
      </c>
      <c r="C11" s="7" t="inlineStr">
        <is>
          <t>SAP ZLO03</t>
        </is>
      </c>
      <c r="D11" s="7" t="inlineStr">
        <is>
          <t>PM-01</t>
        </is>
      </c>
      <c r="E11" s="7" t="inlineStr">
        <is>
          <t>ZLO03 Kommunikationspflicht</t>
        </is>
      </c>
      <c r="F11" s="7" t="inlineStr">
        <is>
          <t>Ingo</t>
        </is>
      </c>
      <c r="G11" s="7" t="inlineStr">
        <is>
          <t>Hoch</t>
        </is>
      </c>
      <c r="H11" s="151" t="inlineStr">
        <is>
          <t>Erledigt</t>
        </is>
      </c>
      <c r="I11" s="7" t="inlineStr"/>
      <c r="J11" s="7" t="inlineStr">
        <is>
          <t>Ann-Katrin Michel vorwarnen: Spalte Exklusiv liefert künftig auch "?" | 08.10.: Bedeutung „Exklusiv“ für Ann-Katrin erklärt (B63491, zlo03/EXKLUSIV_LOGIK_2026-10-08.md), Antwort am 08.10. verschickt, Rückmeldung offen. | 13.10.: Rückmeldung da: Ann-Katrin bestätigte am 08.10. 14:40 (AW: Verständnisfrage Exklusiv-Komponenten) die Exklusivität des Prints für TR5 (GIRTEC, AE Sensors).</t>
        </is>
      </c>
      <c r="K11" s="7" t="inlineStr">
        <is>
          <t>2026-10-08 14:40</t>
        </is>
      </c>
      <c r="L11" s="7" t="inlineStr">
        <is>
          <t>PM-01</t>
        </is>
      </c>
      <c r="M11" s="156" t="inlineStr">
        <is>
          <t>Vorhaben</t>
        </is>
      </c>
    </row>
    <row r="12" hidden="1" ht="60" customHeight="1" s="62">
      <c r="A12" s="7" t="inlineStr">
        <is>
          <t>11</t>
        </is>
      </c>
      <c r="B12" s="7" t="inlineStr">
        <is>
          <t>Heute</t>
        </is>
      </c>
      <c r="C12" s="7" t="inlineStr">
        <is>
          <t>SAP ZZPRDAT</t>
        </is>
      </c>
      <c r="D12" s="7" t="inlineStr">
        <is>
          <t>PM-03</t>
        </is>
      </c>
      <c r="E12" s="7" t="inlineStr">
        <is>
          <t>ZZPRDAT Umsetzung</t>
        </is>
      </c>
      <c r="F12" s="7" t="inlineStr">
        <is>
          <t>Ingo</t>
        </is>
      </c>
      <c r="G12" s="7" t="inlineStr">
        <is>
          <t>Hoch</t>
        </is>
      </c>
      <c r="H12" s="151" t="inlineStr">
        <is>
          <t>Erledigt</t>
        </is>
      </c>
      <c r="I12" s="7" t="inlineStr"/>
      <c r="J12" s="7" t="inlineStr">
        <is>
          <t>Loesung in T76 gebaut, im Paket ZPP1 und im Transportauftrag T76K912490. Am 07.09.2026 kam eine Korrektur dazu: BEFORE_UPDATE lief bei jedem Sichern und hätte Altaufträge ungewollt nachgefüllt; jetzt wird AFKO-FTRMI vorher geprüft. Danach alle sieben Wege plus Altauftragsfall und Write-once erneut gemessen, Aufträge 1241824 bis 1241830, Werte direkt aus AUFK.</t>
        </is>
      </c>
      <c r="K12" s="7" t="inlineStr">
        <is>
          <t>07.09.2026</t>
        </is>
      </c>
      <c r="L12" s="7" t="inlineStr">
        <is>
          <t>PM-03</t>
        </is>
      </c>
      <c r="M12" s="156" t="inlineStr">
        <is>
          <t>Vorhaben</t>
        </is>
      </c>
    </row>
    <row r="13" hidden="1" ht="150" customHeight="1" s="62">
      <c r="A13" s="7" t="inlineStr">
        <is>
          <t>12</t>
        </is>
      </c>
      <c r="B13" s="7" t="inlineStr">
        <is>
          <t>Heute</t>
        </is>
      </c>
      <c r="C13" s="7" t="inlineStr">
        <is>
          <t>SAP ZZPRDAT</t>
        </is>
      </c>
      <c r="D13" s="7" t="inlineStr">
        <is>
          <t>PM-03</t>
        </is>
      </c>
      <c r="E13" s="7" t="inlineStr">
        <is>
          <t>ZZPRDAT Abnahme einholen</t>
        </is>
      </c>
      <c r="F13" s="7" t="inlineStr">
        <is>
          <t>Ingo</t>
        </is>
      </c>
      <c r="G13" s="7" t="inlineStr">
        <is>
          <t>Hoch</t>
        </is>
      </c>
      <c r="H13" s="151" t="inlineStr">
        <is>
          <t>Erledigt</t>
        </is>
      </c>
      <c r="I13" s="7" t="inlineStr"/>
      <c r="J13" s="7" t="inlineStr">
        <is>
          <t>Anschreiben liegt als Outlook-Entwurf mit Betreff und angehängtem Lösungsdokument; vor dem Versand die Empfängeradressen eintragen und den Text aus docs/ZZPRDAT_Mail_Abnahme_2026-09-04.html hineinkopieren. Das Dokument hat seit 07.09.2026 die Kapitel 'So testen Sie es selbst' und 'Nachmessung vom 7. September'. Marco prüft Etikett und Typenschild und dabei neu auch den Zeitpunkt: der Verbuchungsbaustein läuft als V2 nach der Standardverbuchung, ein unmittelbarer Druck könnte das Feld noch leer sehen. Z_ZZPRDAT_CHECK ist seit 07.09. korrigiert (nur Momentaufnahme, kein Write-once-Anspruch; zzprdat-kontext.md). Testtermin mit Lucas, Marco, Adil: 12.10.2026 16:00. | 13.10.: Abgelöst durch Zeile 56. Das Anschreiben wurde nicht versendet; die Abnahme läuft als Testtermin (Einladung „Tests Produktionsdatum“ vom 12.10. 14:14 an Lucas, Marco, Adil), Ergebnis dort.</t>
        </is>
      </c>
      <c r="K13" s="7" t="inlineStr">
        <is>
          <t>2026-10-12 14:14</t>
        </is>
      </c>
      <c r="L13" s="7" t="inlineStr">
        <is>
          <t>PM-03</t>
        </is>
      </c>
      <c r="M13" s="156" t="inlineStr">
        <is>
          <t>Vorhaben</t>
        </is>
      </c>
    </row>
    <row r="14" hidden="1" ht="60" customHeight="1" s="62">
      <c r="A14" s="7" t="inlineStr">
        <is>
          <t>13</t>
        </is>
      </c>
      <c r="B14" s="7" t="inlineStr">
        <is>
          <t>Hoch, haengt an anderen</t>
        </is>
      </c>
      <c r="C14" s="7" t="inlineStr">
        <is>
          <t>Finance DE/ES</t>
        </is>
      </c>
      <c r="D14" s="7" t="inlineStr">
        <is>
          <t>ISS-003.3</t>
        </is>
      </c>
      <c r="E14" s="7" t="inlineStr">
        <is>
          <t>DE/ES ohne Lieferantenfelder</t>
        </is>
      </c>
      <c r="F14" s="7" t="inlineStr">
        <is>
          <t>Ingo</t>
        </is>
      </c>
      <c r="G14" s="7" t="inlineStr">
        <is>
          <t>Mittel</t>
        </is>
      </c>
      <c r="H14" s="7" t="inlineStr">
        <is>
          <t>Wartet auf andere</t>
        </is>
      </c>
      <c r="I14" s="7" t="inlineStr"/>
      <c r="J14" s="7" t="inlineStr">
        <is>
          <t>Eigene Export-SQL am 29.09. geprüft: DE und ES lesen keine Lieferantenspalte, Alphaplan führt die Lieferanten nachweislich. Nächster Schritt: read-only Spaltenauszug des Schemas bei Rohail (DE) und Santi (ES) anfordern, danach Query und Import erweitern. Kein Pflegeauftrag an die Standorte.</t>
        </is>
      </c>
      <c r="K14" s="7" t="inlineStr"/>
      <c r="L14" s="7" t="inlineStr">
        <is>
          <t>PM-05</t>
        </is>
      </c>
      <c r="M14" s="152" t="inlineStr">
        <is>
          <t>Projekt</t>
        </is>
      </c>
    </row>
    <row r="15" hidden="1" ht="30" customHeight="1" s="62">
      <c r="A15" s="7" t="inlineStr">
        <is>
          <t>14</t>
        </is>
      </c>
      <c r="B15" s="7" t="inlineStr">
        <is>
          <t>Nur terminieren</t>
        </is>
      </c>
      <c r="C15" s="7" t="inlineStr">
        <is>
          <t>Finance Export</t>
        </is>
      </c>
      <c r="D15" s="7" t="inlineStr">
        <is>
          <t>ISS-013</t>
        </is>
      </c>
      <c r="E15" s="7" t="inlineStr">
        <is>
          <t>Sales Type und Sachnummer im Export</t>
        </is>
      </c>
      <c r="F15" s="7" t="inlineStr">
        <is>
          <t>App</t>
        </is>
      </c>
      <c r="G15" s="7" t="inlineStr">
        <is>
          <t>Mittel</t>
        </is>
      </c>
      <c r="H15" s="151" t="inlineStr">
        <is>
          <t>Erledigt</t>
        </is>
      </c>
      <c r="I15" s="7" t="inlineStr"/>
      <c r="J15" s="7" t="inlineStr">
        <is>
          <t>Produktiv seit 27.08.2026 15:28. Beim nächsten Export die Indien-Quote im Excel gegen die App gegenprüfen</t>
        </is>
      </c>
      <c r="K15" s="7" t="inlineStr"/>
      <c r="L15" s="7" t="inlineStr">
        <is>
          <t>PM-05</t>
        </is>
      </c>
      <c r="M15" s="152" t="inlineStr">
        <is>
          <t>Projekt</t>
        </is>
      </c>
    </row>
    <row r="16" hidden="1" ht="75" customHeight="1" s="62">
      <c r="A16" s="7" t="inlineStr">
        <is>
          <t>15</t>
        </is>
      </c>
      <c r="B16" s="7" t="inlineStr">
        <is>
          <t>Umsetzung</t>
        </is>
      </c>
      <c r="C16" s="7" t="inlineStr">
        <is>
          <t>Finance CH/AT</t>
        </is>
      </c>
      <c r="D16" s="7" t="inlineStr">
        <is>
          <t>ISS-006</t>
        </is>
      </c>
      <c r="E16" s="7" t="inlineStr">
        <is>
          <t>CH/AT Journal, Transport T76K912530 nach P76</t>
        </is>
      </c>
      <c r="F16" s="7" t="inlineStr">
        <is>
          <t>SAP / Ingo</t>
        </is>
      </c>
      <c r="G16" s="7" t="inlineStr">
        <is>
          <t>Mittel</t>
        </is>
      </c>
      <c r="H16" s="7" t="inlineStr">
        <is>
          <t>In P76, Ladelauf offen</t>
        </is>
      </c>
      <c r="I16" s="7" t="inlineStr"/>
      <c r="J16" s="7" t="inlineStr">
        <is>
          <t>21.10.: Ob der Ladelauf seit dem Import gelaufen ist, steht in keiner Doku; Ingo prueft auf /finance-journal-import und loest ihn bei Bedarf aus | T76K912530 am 01.10. nach P76 importiert (mit HrKpiSet). P76: FinanzJournalSet mit Filter 200 in 0,9 s. Letzter Journal-Import vom 10.09. war am fehlenden Set gescheitert. Offen: Journal-Ladelauf CH/AT im Admin auslösen (Ingo), danach Werte prüfen. 2026-10-01 15:13: Ingo will den Lauf ausloesen lassen; geht nur ueber die Schaltflaeche auf /finance-journal-import (Chrome-Erweiterung nicht verbunden), Ingo klickt.</t>
        </is>
      </c>
      <c r="K16" s="7" t="inlineStr"/>
      <c r="L16" s="7" t="inlineStr">
        <is>
          <t>PM-05</t>
        </is>
      </c>
      <c r="M16" s="152" t="inlineStr">
        <is>
          <t>Projekt</t>
        </is>
      </c>
    </row>
    <row r="17" ht="45" customHeight="1" s="62">
      <c r="A17" s="7" t="inlineStr">
        <is>
          <t>16</t>
        </is>
      </c>
      <c r="B17" s="7" t="inlineStr">
        <is>
          <t>Umsetzung</t>
        </is>
      </c>
      <c r="C17" s="7" t="inlineStr">
        <is>
          <t>Einkauf</t>
        </is>
      </c>
      <c r="D17" s="7" t="inlineStr">
        <is>
          <t>PM-04</t>
        </is>
      </c>
      <c r="E17" s="7" t="inlineStr">
        <is>
          <t>Einkauf Restpunkte SAP</t>
        </is>
      </c>
      <c r="F17" s="7" t="inlineStr">
        <is>
          <t>Ingo</t>
        </is>
      </c>
      <c r="G17" s="7" t="inlineStr">
        <is>
          <t>Mittel</t>
        </is>
      </c>
      <c r="H17" s="7" t="inlineStr">
        <is>
          <t>Wartet auf Entscheid</t>
        </is>
      </c>
      <c r="I17" s="7" t="inlineStr"/>
      <c r="J17" s="7" t="inlineStr">
        <is>
          <t>D1/D5: Ersatztexte im Dashboard produktiv seit 01.10. (3407868), SAP vorerst nicht pflegen (Ingo). SEGW-Key DISPO_KZ + DISPO: Empfehlung nicht umsetzen (kein Nutzen, Neugenerierung des ganzen Service); Ingo entscheidet, dann schliessen.</t>
        </is>
      </c>
      <c r="K17" s="7" t="inlineStr"/>
      <c r="L17" s="7" t="inlineStr">
        <is>
          <t>PM-04</t>
        </is>
      </c>
      <c r="M17" s="152" t="inlineStr">
        <is>
          <t>Projekt</t>
        </is>
      </c>
    </row>
    <row r="18" ht="30" customHeight="1" s="62">
      <c r="A18" s="7" t="inlineStr">
        <is>
          <t>17</t>
        </is>
      </c>
      <c r="B18" s="7" t="inlineStr">
        <is>
          <t>Umsetzung</t>
        </is>
      </c>
      <c r="C18" s="7" t="inlineStr">
        <is>
          <t>Marktsegmente</t>
        </is>
      </c>
      <c r="D18" s="7" t="inlineStr">
        <is>
          <t>-</t>
        </is>
      </c>
      <c r="E18" s="7" t="inlineStr">
        <is>
          <t>Sichtprüfläufe produktiv nachholen</t>
        </is>
      </c>
      <c r="F18" s="7" t="inlineStr">
        <is>
          <t>Ingo</t>
        </is>
      </c>
      <c r="G18" s="7" t="inlineStr">
        <is>
          <t>Mittel</t>
        </is>
      </c>
      <c r="H18" s="155" t="inlineStr">
        <is>
          <t>Offen</t>
        </is>
      </c>
      <c r="I18" s="7" t="inlineStr"/>
      <c r="J18" s="7" t="inlineStr">
        <is>
          <t>3 Deploys angemeldet sichtprüfen: Segmente, Umfrage, Jahresfilter</t>
        </is>
      </c>
      <c r="K18" s="7" t="inlineStr"/>
      <c r="L18" s="7" t="inlineStr">
        <is>
          <t>PM-08</t>
        </is>
      </c>
      <c r="M18" s="156" t="inlineStr">
        <is>
          <t>Vorhaben</t>
        </is>
      </c>
    </row>
    <row r="19" hidden="1" ht="30" customHeight="1" s="62">
      <c r="A19" s="7" t="inlineStr">
        <is>
          <t>18</t>
        </is>
      </c>
      <c r="B19" s="7" t="inlineStr">
        <is>
          <t>Umsetzung</t>
        </is>
      </c>
      <c r="C19" s="7" t="inlineStr">
        <is>
          <t>Finance Export</t>
        </is>
      </c>
      <c r="D19" s="7" t="inlineStr">
        <is>
          <t>ISS-012</t>
        </is>
      </c>
      <c r="E19" s="7" t="inlineStr">
        <is>
          <t>Phantom-Legendenzeile im Export</t>
        </is>
      </c>
      <c r="F19" s="7" t="inlineStr">
        <is>
          <t>App</t>
        </is>
      </c>
      <c r="G19" s="7" t="inlineStr">
        <is>
          <t>Niedrig</t>
        </is>
      </c>
      <c r="H19" s="151" t="inlineStr">
        <is>
          <t>Erledigt</t>
        </is>
      </c>
      <c r="I19" s="7" t="inlineStr"/>
      <c r="J19" s="7" t="inlineStr">
        <is>
          <t>Produktiv deployed am 27.08.2026: Phantom-Legendenzeile wird im Konsolidierungsschritt ausgefiltert.</t>
        </is>
      </c>
      <c r="K19" s="7" t="inlineStr">
        <is>
          <t>27.08.2026</t>
        </is>
      </c>
      <c r="L19" s="7" t="inlineStr">
        <is>
          <t>PM-05</t>
        </is>
      </c>
      <c r="M19" s="152" t="inlineStr">
        <is>
          <t>Projekt</t>
        </is>
      </c>
    </row>
    <row r="20" hidden="1" ht="60" customHeight="1" s="62">
      <c r="A20" s="7" t="inlineStr">
        <is>
          <t>19</t>
        </is>
      </c>
      <c r="B20" s="7" t="inlineStr">
        <is>
          <t>Nur terminieren</t>
        </is>
      </c>
      <c r="C20" s="7" t="inlineStr">
        <is>
          <t>Finance IT</t>
        </is>
      </c>
      <c r="D20" s="7" t="inlineStr">
        <is>
          <t>ISS-007.1</t>
        </is>
      </c>
      <c r="E20" s="7" t="inlineStr">
        <is>
          <t>TR IT Moving Average: zurückgestellt bis 2027</t>
        </is>
      </c>
      <c r="F20" s="7" t="inlineStr">
        <is>
          <t>Andreas / Ingo</t>
        </is>
      </c>
      <c r="G20" s="7" t="inlineStr">
        <is>
          <t>Mittel</t>
        </is>
      </c>
      <c r="H20" s="7" t="inlineStr">
        <is>
          <t>Entschieden, zurückgestellt</t>
        </is>
      </c>
      <c r="I20" s="7" t="inlineStr"/>
      <c r="J20" s="7" t="inlineStr">
        <is>
          <t>Andreas hat am 09.09.2026 entschieden: keine Priorität, erneute Betrachtung 2027. Rückmeldung an Paola am 29.09.2026 versendet. Keine weitere Aktion.</t>
        </is>
      </c>
      <c r="K20" s="7" t="inlineStr"/>
      <c r="L20" s="7" t="inlineStr">
        <is>
          <t>PM-05</t>
        </is>
      </c>
      <c r="M20" s="152" t="inlineStr">
        <is>
          <t>Projekt</t>
        </is>
      </c>
    </row>
    <row r="21" hidden="1" ht="30" customHeight="1" s="62">
      <c r="A21" s="7" t="inlineStr">
        <is>
          <t>20</t>
        </is>
      </c>
      <c r="B21" s="7" t="inlineStr">
        <is>
          <t>Nur terminieren</t>
        </is>
      </c>
      <c r="C21" s="7" t="inlineStr">
        <is>
          <t>SAP PPWR</t>
        </is>
      </c>
      <c r="D21" s="7" t="inlineStr">
        <is>
          <t>PM-06</t>
        </is>
      </c>
      <c r="E21" s="7" t="inlineStr">
        <is>
          <t>PPWR Pilotmaterialien</t>
        </is>
      </c>
      <c r="F21" s="7" t="inlineStr">
        <is>
          <t>Adil</t>
        </is>
      </c>
      <c r="G21" s="7" t="inlineStr">
        <is>
          <t>Mittel</t>
        </is>
      </c>
      <c r="H21" s="151" t="inlineStr">
        <is>
          <t>Erledigt</t>
        </is>
      </c>
      <c r="I21" s="7" t="inlineStr"/>
      <c r="J21" s="7" t="inlineStr">
        <is>
          <t>Komplett erledigt 2026-08-20 laut Ingo: Pilotmaterialien zugeordnet, CL30N-Abnahme gefahren</t>
        </is>
      </c>
      <c r="K21" s="7" t="inlineStr"/>
      <c r="L21" s="7" t="inlineStr">
        <is>
          <t>PM-06</t>
        </is>
      </c>
      <c r="M21" s="156" t="inlineStr">
        <is>
          <t>Vorhaben</t>
        </is>
      </c>
    </row>
    <row r="22" hidden="1" ht="30" customHeight="1" s="62">
      <c r="A22" s="7" t="inlineStr">
        <is>
          <t>21</t>
        </is>
      </c>
      <c r="B22" s="7" t="inlineStr">
        <is>
          <t>Nur terminieren</t>
        </is>
      </c>
      <c r="C22" s="7" t="inlineStr">
        <is>
          <t>Finance Reporting</t>
        </is>
      </c>
      <c r="D22" s="7" t="inlineStr">
        <is>
          <t>ISS-008</t>
        </is>
      </c>
      <c r="E22" s="7" t="inlineStr">
        <is>
          <t>Budget-CHF als Reportinggrösse</t>
        </is>
      </c>
      <c r="F22" s="7" t="inlineStr">
        <is>
          <t>Finance / Andreas</t>
        </is>
      </c>
      <c r="G22" s="7" t="inlineStr">
        <is>
          <t>Niedrig</t>
        </is>
      </c>
      <c r="H22" s="155" t="inlineStr">
        <is>
          <t>Offen</t>
        </is>
      </c>
      <c r="I22" s="7" t="inlineStr"/>
      <c r="J22" s="7" t="inlineStr">
        <is>
          <t>6 offene Entscheide bei Finance, nur beobachten</t>
        </is>
      </c>
      <c r="K22" s="7" t="inlineStr"/>
      <c r="L22" s="7" t="inlineStr">
        <is>
          <t>PM-05</t>
        </is>
      </c>
      <c r="M22" s="152" t="inlineStr">
        <is>
          <t>Projekt</t>
        </is>
      </c>
    </row>
    <row r="23" ht="45" customHeight="1" s="62">
      <c r="A23" s="7" t="inlineStr">
        <is>
          <t>22</t>
        </is>
      </c>
      <c r="B23" s="7" t="inlineStr">
        <is>
          <t>Nur terminieren</t>
        </is>
      </c>
      <c r="C23" s="7" t="inlineStr">
        <is>
          <t>HR</t>
        </is>
      </c>
      <c r="D23" s="7" t="inlineStr">
        <is>
          <t>PM-07</t>
        </is>
      </c>
      <c r="E23" s="7" t="inlineStr">
        <is>
          <t>REXX automatische Auswertung</t>
        </is>
      </c>
      <c r="F23" s="7" t="inlineStr">
        <is>
          <t>Ingo</t>
        </is>
      </c>
      <c r="G23" s="7" t="inlineStr">
        <is>
          <t>Mittel</t>
        </is>
      </c>
      <c r="H23" s="7" t="inlineStr">
        <is>
          <t>Wartet auf externe Firma</t>
        </is>
      </c>
      <c r="I23" s="7" t="inlineStr"/>
      <c r="J23" s="7" t="inlineStr">
        <is>
          <t>Exporter-Fertigstellung abwarten, danach Anbindung/Auswertung planen</t>
        </is>
      </c>
      <c r="K23" s="7" t="inlineStr"/>
      <c r="L23" s="7" t="inlineStr">
        <is>
          <t>PM-07</t>
        </is>
      </c>
      <c r="M23" s="156" t="inlineStr">
        <is>
          <t>Vorhaben</t>
        </is>
      </c>
    </row>
    <row r="24" hidden="1" ht="30" customHeight="1" s="62">
      <c r="A24" s="7" t="inlineStr">
        <is>
          <t>23</t>
        </is>
      </c>
      <c r="B24" s="7" t="inlineStr">
        <is>
          <t>Heute</t>
        </is>
      </c>
      <c r="C24" s="7" t="inlineStr">
        <is>
          <t>Einkauf</t>
        </is>
      </c>
      <c r="D24" s="7" t="inlineStr">
        <is>
          <t>-</t>
        </is>
      </c>
      <c r="E24" s="7" t="inlineStr">
        <is>
          <t>Lagerwert Einkaufsteile</t>
        </is>
      </c>
      <c r="F24" s="7" t="inlineStr">
        <is>
          <t>Ingo</t>
        </is>
      </c>
      <c r="G24" s="7" t="inlineStr">
        <is>
          <t>Mittel</t>
        </is>
      </c>
      <c r="H24" s="151" t="inlineStr">
        <is>
          <t>Erledigt</t>
        </is>
      </c>
      <c r="I24" s="7" t="inlineStr"/>
      <c r="J24" s="7" t="inlineStr">
        <is>
          <t>Wochenverlauf läuft: Tagesstände 28., 29., 30.09. je 87 Disponenten, Bewertungskreis 1100 (11,30 / 11,21 / 11,23 Mio.), gemessen 01.10. in der Produktiv-DB.</t>
        </is>
      </c>
      <c r="K24" s="7" t="inlineStr">
        <is>
          <t>2026-10-01 11:34</t>
        </is>
      </c>
      <c r="L24" s="7" t="inlineStr">
        <is>
          <t>PM-04</t>
        </is>
      </c>
      <c r="M24" s="152" t="inlineStr">
        <is>
          <t>Projekt</t>
        </is>
      </c>
    </row>
    <row r="25" hidden="1" ht="135" customHeight="1" s="62">
      <c r="A25" s="7" t="inlineStr">
        <is>
          <t>24</t>
        </is>
      </c>
      <c r="B25" s="7" t="inlineStr">
        <is>
          <t>Heute</t>
        </is>
      </c>
      <c r="C25" s="7" t="inlineStr">
        <is>
          <t>Railway</t>
        </is>
      </c>
      <c r="D25" s="7" t="inlineStr">
        <is>
          <t>PM-08</t>
        </is>
      </c>
      <c r="E25" s="7" t="inlineStr">
        <is>
          <t>DE-Verkaufsbestand mit fachlichen Kundenfeldern</t>
        </is>
      </c>
      <c r="F25" s="7" t="inlineStr">
        <is>
          <t>Ingo / DE</t>
        </is>
      </c>
      <c r="G25" s="7" t="inlineStr">
        <is>
          <t>Hoch</t>
        </is>
      </c>
      <c r="H25" s="153" t="inlineStr">
        <is>
          <t>Läuft</t>
        </is>
      </c>
      <c r="I25" s="7" t="inlineStr">
        <is>
          <t>08.09.2026</t>
        </is>
      </c>
      <c r="J25" s="7" t="inlineStr">
        <is>
          <t>Ueberholt den Stand vom 09.09. 07:20. Rohail Munirs Rechnungen_20260909.xlsx loeste den Schluessel: 60'539 Rechnungen mit fachlicher Adressnr._R, die interne RechnungsAdressenID wird nicht mehr gebraucht. Produktiver Nachzug am 09.09.2026 um 14:37, 3'043 Zeilen in einer Transaktion, fachliche Nummern von 4'549 auf 7'592 von 7'622, Segmente von 19 auf 24, quick_check ok, SalesPriceValue unveraendert. Deutscher Bahnumsatz erstmals belegbar: 2025 rund 578'636 EUR, 2026 bis 09.09. rund 432'237 EUR. OFFEN: 30 Gutschriftenzeilen ohne fachliche Nummer, weil Rohails Datei keine Gutschriften enthaelt, und die 40 Zeilen der drei Doppelnummern Sonepar, EMS und Magnetic Sense. Der Termin 08.09.2026 ist ueberschritten, neues Zieldatum offen.</t>
        </is>
      </c>
      <c r="K25" s="7" t="inlineStr"/>
      <c r="L25" s="7" t="inlineStr">
        <is>
          <t>PM-08</t>
        </is>
      </c>
      <c r="M25" s="156" t="inlineStr">
        <is>
          <t>Vorhaben</t>
        </is>
      </c>
    </row>
    <row r="26" ht="75" customHeight="1" s="62">
      <c r="A26" s="7" t="inlineStr">
        <is>
          <t>25</t>
        </is>
      </c>
      <c r="B26" s="7" t="inlineStr">
        <is>
          <t>Heute</t>
        </is>
      </c>
      <c r="C26" s="7" t="inlineStr">
        <is>
          <t>Railway</t>
        </is>
      </c>
      <c r="D26" s="7" t="inlineStr">
        <is>
          <t>PM-08</t>
        </is>
      </c>
      <c r="E26" s="7" t="inlineStr">
        <is>
          <t>Railway Zuordnung übrige Standorte prüfen lassen</t>
        </is>
      </c>
      <c r="F26" s="7" t="inlineStr">
        <is>
          <t>Patrik</t>
        </is>
      </c>
      <c r="G26" s="7" t="inlineStr">
        <is>
          <t>Hoch</t>
        </is>
      </c>
      <c r="H26" s="155" t="inlineStr">
        <is>
          <t>Offen</t>
        </is>
      </c>
      <c r="I26" s="7" t="inlineStr">
        <is>
          <t>08.09.2026</t>
        </is>
      </c>
      <c r="J26" s="7" t="inlineStr">
        <is>
          <t>171 offene Vorschlaege der anderen Standorte bleiben fachlich zu pruefen. Rohails DE-Stamm bestaetigt keine auslaendischen Kundenschluessel. DE nur direkte Belegzuordnung und reine Bahnbranche automatisch bestaetigen. Am 10.09.2026 produktiv nachgemessen und unveraendert: von 196 Zuordnungen sind 25 bestaetigt, davon 24 aus TRDE; die 171 uebrigen bleiben Namensabgleich-Vorschlaege.</t>
        </is>
      </c>
      <c r="K26" s="7" t="inlineStr"/>
      <c r="L26" s="7" t="inlineStr">
        <is>
          <t>PM-08</t>
        </is>
      </c>
      <c r="M26" s="156" t="inlineStr">
        <is>
          <t>Vorhaben</t>
        </is>
      </c>
    </row>
    <row r="27" hidden="1" ht="60" customHeight="1" s="62">
      <c r="A27" s="7" t="inlineStr">
        <is>
          <t>26</t>
        </is>
      </c>
      <c r="B27" s="7" t="inlineStr">
        <is>
          <t>Nur terminieren</t>
        </is>
      </c>
      <c r="C27" s="7" t="inlineStr">
        <is>
          <t>Railway</t>
        </is>
      </c>
      <c r="D27" s="7" t="inlineStr">
        <is>
          <t>PM-08</t>
        </is>
      </c>
      <c r="E27" s="7" t="inlineStr">
        <is>
          <t>Railway Export für Rohail Munir</t>
        </is>
      </c>
      <c r="F27" s="7" t="inlineStr">
        <is>
          <t>Ingo</t>
        </is>
      </c>
      <c r="G27" s="7" t="inlineStr">
        <is>
          <t>Hoch</t>
        </is>
      </c>
      <c r="H27" s="153" t="inlineStr">
        <is>
          <t>Läuft</t>
        </is>
      </c>
      <c r="I27" s="7" t="inlineStr">
        <is>
          <t>08.09.2026</t>
        </is>
      </c>
      <c r="J27" s="7" t="inlineStr">
        <is>
          <t>09.09.: korrigierte DE-Pruefmappe mit Belegnachweisen, historischen Vorschlaegen und Restliste; Bahnmarkt_Rohail_2026-09-09.xlsx aus konsistentem Produktivsnapshot erzeugt und rueckgelesen (19 DE-Kunden bestaetigt). Kein Versand erfolgt. | 13.10.: Kein Versand gefunden; Rohail hat am 30.09. die Railway-Gesamtsicht (Zeile 48) erhalten. Klären, ob die Prüfmappe noch gebraucht wird.</t>
        </is>
      </c>
      <c r="K27" s="7" t="inlineStr"/>
      <c r="L27" s="7" t="inlineStr">
        <is>
          <t>PM-08</t>
        </is>
      </c>
      <c r="M27" s="156" t="inlineStr">
        <is>
          <t>Vorhaben</t>
        </is>
      </c>
    </row>
    <row r="28" hidden="1" ht="30" customHeight="1" s="62">
      <c r="A28" s="7" t="inlineStr">
        <is>
          <t>27</t>
        </is>
      </c>
      <c r="B28" s="7" t="inlineStr">
        <is>
          <t>Heute</t>
        </is>
      </c>
      <c r="C28" s="7" t="inlineStr">
        <is>
          <t>Finance Standardkosten</t>
        </is>
      </c>
      <c r="D28" s="7" t="inlineStr">
        <is>
          <t>-</t>
        </is>
      </c>
      <c r="E28" s="7" t="inlineStr">
        <is>
          <t>Rückfrage an Andreas zur Sitzung vom 27.08.2026</t>
        </is>
      </c>
      <c r="F28" s="7" t="inlineStr">
        <is>
          <t>Ingo</t>
        </is>
      </c>
      <c r="G28" s="7" t="inlineStr">
        <is>
          <t>Hoch</t>
        </is>
      </c>
      <c r="H28" s="151" t="inlineStr">
        <is>
          <t>Erledigt</t>
        </is>
      </c>
      <c r="I28" s="7" t="inlineStr"/>
      <c r="J28" s="7" t="inlineStr">
        <is>
          <t>Technische Vergleichslogik abgeschlossen: Andreas kann beide Kostenquellen direkt in Settings wählen; fachliche Auswahl erfolgt im Vergleich.</t>
        </is>
      </c>
      <c r="K28" s="7" t="inlineStr">
        <is>
          <t>27.08.2026</t>
        </is>
      </c>
      <c r="L28" s="7" t="inlineStr">
        <is>
          <t>PM-05</t>
        </is>
      </c>
      <c r="M28" s="152" t="inlineStr">
        <is>
          <t>Projekt</t>
        </is>
      </c>
    </row>
    <row r="29" hidden="1" ht="45" customHeight="1" s="62">
      <c r="A29" s="7" t="inlineStr">
        <is>
          <t>28</t>
        </is>
      </c>
      <c r="B29" s="7" t="inlineStr">
        <is>
          <t>Umsetzung</t>
        </is>
      </c>
      <c r="C29" s="7" t="inlineStr">
        <is>
          <t>Finance Standardkosten</t>
        </is>
      </c>
      <c r="D29" s="7" t="inlineStr">
        <is>
          <t>-</t>
        </is>
      </c>
      <c r="E29" s="7" t="inlineStr">
        <is>
          <t>Arbeitsmappe Standortkosten auf den Sitzungsstand bringen</t>
        </is>
      </c>
      <c r="F29" s="7" t="inlineStr">
        <is>
          <t>Ingo</t>
        </is>
      </c>
      <c r="G29" s="7" t="inlineStr">
        <is>
          <t>Mittel</t>
        </is>
      </c>
      <c r="H29" s="155" t="inlineStr">
        <is>
          <t>Offen</t>
        </is>
      </c>
      <c r="I29" s="7" t="inlineStr"/>
      <c r="J29" s="7" t="inlineStr">
        <is>
          <t>Sales Type in den oberen Block ziehen, Zweig ohne Lieferant und Währungszeile ergänzen, danach Sales_All neu generieren. Als Abgleich dient docs/FINANCE_LIEFERANT_STANDARDKOSTEN_WORKFLOW_2026-09-02.svg</t>
        </is>
      </c>
      <c r="K29" s="7" t="inlineStr"/>
      <c r="L29" s="7" t="inlineStr">
        <is>
          <t>PM-05</t>
        </is>
      </c>
      <c r="M29" s="152" t="inlineStr">
        <is>
          <t>Projekt</t>
        </is>
      </c>
    </row>
    <row r="30" hidden="1" ht="45" customHeight="1" s="62">
      <c r="A30" s="7" t="inlineStr">
        <is>
          <t>29</t>
        </is>
      </c>
      <c r="B30" s="7" t="inlineStr">
        <is>
          <t>Erledigt</t>
        </is>
      </c>
      <c r="C30" s="7" t="inlineStr">
        <is>
          <t>Finance Gruppenmarge</t>
        </is>
      </c>
      <c r="D30" s="7" t="inlineStr">
        <is>
          <t>-</t>
        </is>
      </c>
      <c r="E30" s="7" t="inlineStr">
        <is>
          <t>Schutz gegen Marge auf Verrechnungspreis greift nur bei Sales Type LRD</t>
        </is>
      </c>
      <c r="F30" s="7" t="inlineStr">
        <is>
          <t>Andreas / Ingo</t>
        </is>
      </c>
      <c r="G30" s="7" t="inlineStr">
        <is>
          <t>Hoch</t>
        </is>
      </c>
      <c r="H30" s="151" t="inlineStr">
        <is>
          <t>Erledigt</t>
        </is>
      </c>
      <c r="I30" s="7" t="inlineStr"/>
      <c r="J30" s="7" t="inlineStr">
        <is>
          <t>Zusammengeführt mit ISS-018.7 (Zeile 47): derselbe Befund, dort mit Fachentscheid Andreas geführt.</t>
        </is>
      </c>
      <c r="K30" s="7" t="inlineStr">
        <is>
          <t>29.09.2026</t>
        </is>
      </c>
      <c r="L30" s="7" t="inlineStr">
        <is>
          <t>PM-05</t>
        </is>
      </c>
      <c r="M30" s="152" t="inlineStr">
        <is>
          <t>Projekt</t>
        </is>
      </c>
    </row>
    <row r="31" hidden="1" ht="60" customHeight="1" s="62">
      <c r="A31" s="7" t="inlineStr">
        <is>
          <t>30</t>
        </is>
      </c>
      <c r="B31" s="7" t="inlineStr">
        <is>
          <t>Umsetzung</t>
        </is>
      </c>
      <c r="C31" s="7" t="inlineStr">
        <is>
          <t>Finance Standardkosten</t>
        </is>
      </c>
      <c r="D31" s="7" t="inlineStr">
        <is>
          <t>-</t>
        </is>
      </c>
      <c r="E31" s="7" t="inlineStr">
        <is>
          <t>Schalter Schweizer STPRS: Beschriftung und Code stimmen nicht überein</t>
        </is>
      </c>
      <c r="F31" s="7" t="inlineStr">
        <is>
          <t>Ingo / Andreas</t>
        </is>
      </c>
      <c r="G31" s="7" t="inlineStr">
        <is>
          <t>Mittel</t>
        </is>
      </c>
      <c r="H31" s="155" t="inlineStr">
        <is>
          <t>Offen</t>
        </is>
      </c>
      <c r="I31" s="7" t="inlineStr"/>
      <c r="J31" s="7" t="inlineStr">
        <is>
          <t>ShouldUseSwissStprs prüft den SupplierType nicht und setzt die liefernde Gesellschaft bedingungslos auf TR_AG. Im Alternativmodus bekämen auch Extern-, Lokal- und Unklar-Zeilen Schweizer Kosten. Klären, ob die Bedingung im Code fehlt oder die Beschriftung zu eng ist. Produktiv unbetroffen, Default DeliveringEntityCosts</t>
        </is>
      </c>
      <c r="K31" s="7" t="inlineStr"/>
      <c r="L31" s="7" t="inlineStr">
        <is>
          <t>PM-05</t>
        </is>
      </c>
      <c r="M31" s="152" t="inlineStr">
        <is>
          <t>Projekt</t>
        </is>
      </c>
    </row>
    <row r="32" hidden="1" ht="45" customHeight="1" s="62">
      <c r="A32" s="7" t="inlineStr">
        <is>
          <t>31</t>
        </is>
      </c>
      <c r="B32" s="7" t="inlineStr">
        <is>
          <t>Nur terminieren</t>
        </is>
      </c>
      <c r="C32" s="7" t="inlineStr">
        <is>
          <t>Finance IN</t>
        </is>
      </c>
      <c r="D32" s="7" t="inlineStr">
        <is>
          <t>-</t>
        </is>
      </c>
      <c r="E32" s="7" t="inlineStr">
        <is>
          <t>41 Zeilen mit Sales Type FFM und Fremdlieferant Cenlub Systems</t>
        </is>
      </c>
      <c r="F32" s="7" t="inlineStr">
        <is>
          <t>Ingo / Indien</t>
        </is>
      </c>
      <c r="G32" s="7" t="inlineStr">
        <is>
          <t>Niedrig</t>
        </is>
      </c>
      <c r="H32" s="155" t="inlineStr">
        <is>
          <t>Offen</t>
        </is>
      </c>
      <c r="I32" s="7" t="inlineStr"/>
      <c r="J32" s="7" t="inlineStr">
        <is>
          <t>Alle 41 Konfliktzeilen gehen auf einen einzigen Lieferanten zurück. Indien prüfen lassen, ob diese Artikel wirklich Eigenfertigung sind oder der Sales Type falsch steht</t>
        </is>
      </c>
      <c r="K32" s="7" t="inlineStr"/>
      <c r="L32" s="7" t="inlineStr">
        <is>
          <t>PM-05</t>
        </is>
      </c>
      <c r="M32" s="152" t="inlineStr">
        <is>
          <t>Projekt</t>
        </is>
      </c>
    </row>
    <row r="33" hidden="1" ht="90" customHeight="1" s="62">
      <c r="A33" s="7" t="inlineStr">
        <is>
          <t>32</t>
        </is>
      </c>
      <c r="B33" s="7" t="inlineStr">
        <is>
          <t>Entscheid</t>
        </is>
      </c>
      <c r="C33" s="7" t="inlineStr">
        <is>
          <t>Finance Journal</t>
        </is>
      </c>
      <c r="D33" s="7" t="inlineStr">
        <is>
          <t>ISS-006.1</t>
        </is>
      </c>
      <c r="E33" s="7" t="inlineStr">
        <is>
          <t>Ausgleichsfelder eingebaut, Bedeutung von date paid entscheiden</t>
        </is>
      </c>
      <c r="F33" s="7" t="inlineStr">
        <is>
          <t>Andreas / Ingo</t>
        </is>
      </c>
      <c r="G33" s="7" t="inlineStr">
        <is>
          <t>Mittel</t>
        </is>
      </c>
      <c r="H33" s="7" t="inlineStr">
        <is>
          <t>Umgesetzt, wartet auf Entscheid</t>
        </is>
      </c>
      <c r="I33" s="7" t="inlineStr"/>
      <c r="J33" s="7" t="inlineStr">
        <is>
          <t>Query am 09.09.2026 live gegengezaehlt, keine Zeilenvervielfachung. Die fuenf Felder sind seit dem Deploy vom 10.09.2026 um 08:53 PRODUKTIV, die Schemamigration hat das Journal von 29 auf 34 Spalten erweitert, 691/691 Tests gruen. Finance_All ist am selben Tag neu erzeugt worden, due date darin vollstaendig belegt. OFFEN ist nur noch der fachliche Entscheid von Andreas, was date paid bedeuten soll: Zahlungsbuchungsdatum, Ueberweisungsdatum, letzter Ausgleich oder erst vollstaendiger Ausgleich.</t>
        </is>
      </c>
      <c r="K33" s="7" t="inlineStr"/>
      <c r="L33" s="7" t="inlineStr">
        <is>
          <t>PM-05</t>
        </is>
      </c>
      <c r="M33" s="152" t="inlineStr">
        <is>
          <t>Projekt</t>
        </is>
      </c>
    </row>
    <row r="34" ht="75" customHeight="1" s="62">
      <c r="A34" s="7" t="inlineStr">
        <is>
          <t>33</t>
        </is>
      </c>
      <c r="B34" s="7" t="inlineStr">
        <is>
          <t>Entscheid</t>
        </is>
      </c>
      <c r="C34" s="7" t="inlineStr">
        <is>
          <t>Einkauf</t>
        </is>
      </c>
      <c r="D34" s="7" t="inlineStr">
        <is>
          <t>PM-04</t>
        </is>
      </c>
      <c r="E34" s="7" t="inlineStr">
        <is>
          <t>Einkauf-Beschriftungen: drei Statustexte nicht ausgeliefert</t>
        </is>
      </c>
      <c r="F34" s="7" t="inlineStr">
        <is>
          <t>Codex / Ingo</t>
        </is>
      </c>
      <c r="G34" s="7" t="inlineStr">
        <is>
          <t>Mittel</t>
        </is>
      </c>
      <c r="H34" s="7" t="inlineStr">
        <is>
          <t>Wartet auf Entscheid</t>
        </is>
      </c>
      <c r="I34" s="7" t="inlineStr"/>
      <c r="J34" s="7" t="inlineStr">
        <is>
          <t>Nicht nachgezogen, weil es einem dokumentierten Entscheid widerspricht: „Bestellwert im Zeitraum“ wurde nach dem Abgleich mit Marco gewählt, weil er „gebucht“ als „schon Wareneingang“ las (PURCHASING_DASHBOARD_2026-06-05.md). Codex’ späteres „Gebuchter Spend“ brächte das Missverständnis zurück. Ingo entscheidet, ob es beim heutigen Text bleibt; dann Zeile schliessen.</t>
        </is>
      </c>
      <c r="K34" s="7" t="inlineStr"/>
      <c r="L34" s="7" t="inlineStr">
        <is>
          <t>PM-04</t>
        </is>
      </c>
      <c r="M34" s="152" t="inlineStr">
        <is>
          <t>Projekt</t>
        </is>
      </c>
    </row>
    <row r="35" ht="105" customHeight="1" s="62">
      <c r="A35" s="7" t="inlineStr">
        <is>
          <t>34</t>
        </is>
      </c>
      <c r="B35" s="7" t="inlineStr">
        <is>
          <t>Entscheid</t>
        </is>
      </c>
      <c r="C35" s="7" t="inlineStr">
        <is>
          <t>Marktsegmente</t>
        </is>
      </c>
      <c r="D35" s="7" t="inlineStr">
        <is>
          <t>ISS-014</t>
        </is>
      </c>
      <c r="E35" s="7" t="inlineStr">
        <is>
          <t>Branche auf Segment abbilden, rund 38 Werte</t>
        </is>
      </c>
      <c r="F35" s="7" t="inlineStr">
        <is>
          <t>Vertrieb / Andreas</t>
        </is>
      </c>
      <c r="G35" s="7" t="inlineStr">
        <is>
          <t>Hoch</t>
        </is>
      </c>
      <c r="H35" s="155" t="inlineStr">
        <is>
          <t>Offen</t>
        </is>
      </c>
      <c r="I35" s="7" t="inlineStr"/>
      <c r="J35" s="7" t="inlineStr">
        <is>
          <t>Am 10.09.2026 produktiv gemessen: die Segmentzuweisung laeuft fuer Deutschland automatisch, fuer die anderen acht Standorte nicht, weil dort das Branchenfeld im Quellsystem fehlt. ZSCHWEIZ ist mit 52'276 Zeilen der groesste Standort ohne jede Branche. Die 543 deutschen Kunden verteilen sich auf 38 Branchenwerte und decken 97,9 Prozent des DE-Umsatzes ab; genutzt werden bisher nur die 24 mit "00 Bahn", und in CustomerMarketSegments existiert ueberhaupt nur der Segmentwert Railway. Der naechste Schritt ist kein Code, sondern ein fachlicher Entscheid ueber rund 38 Zeilen. Details: docs/MARKTSEGMENTE_RAILWAY_2026-08-13.md Abschnitt 18.</t>
        </is>
      </c>
      <c r="K35" s="7" t="inlineStr"/>
      <c r="L35" s="7" t="inlineStr">
        <is>
          <t>PM-08</t>
        </is>
      </c>
      <c r="M35" s="156" t="inlineStr">
        <is>
          <t>Vorhaben</t>
        </is>
      </c>
    </row>
    <row r="36" ht="45" customHeight="1" s="62">
      <c r="A36" s="7" t="inlineStr">
        <is>
          <t>35</t>
        </is>
      </c>
      <c r="B36" s="7" t="inlineStr">
        <is>
          <t>Nur terminieren</t>
        </is>
      </c>
      <c r="C36" s="7" t="inlineStr">
        <is>
          <t>Railway</t>
        </is>
      </c>
      <c r="D36" s="7" t="inlineStr">
        <is>
          <t>ISS-014.1</t>
        </is>
      </c>
      <c r="E36" s="7" t="inlineStr">
        <is>
          <t>Zwei Datenmaengel im deutschen Kundenstamm</t>
        </is>
      </c>
      <c r="F36" s="7" t="inlineStr">
        <is>
          <t>Rohail / Ingo</t>
        </is>
      </c>
      <c r="G36" s="7" t="inlineStr">
        <is>
          <t>Niedrig</t>
        </is>
      </c>
      <c r="H36" s="155" t="inlineStr">
        <is>
          <t>Offen</t>
        </is>
      </c>
      <c r="I36" s="7" t="inlineStr"/>
      <c r="J36" s="7" t="inlineStr">
        <is>
          <t>Am 10.09.2026 beim Branchenabgleich gefunden: Kundennummer 52 traegt zwei verschiedene Bezeichnungen, und zwei Branchenwerte enden auf ein Komma. Zusammen neun Kunden betroffen. Mit Rohail klaeren.</t>
        </is>
      </c>
      <c r="K36" s="7" t="inlineStr"/>
      <c r="L36" s="7" t="inlineStr">
        <is>
          <t>PM-08</t>
        </is>
      </c>
      <c r="M36" s="156" t="inlineStr">
        <is>
          <t>Vorhaben</t>
        </is>
      </c>
    </row>
    <row r="37" ht="90" customHeight="1" s="62">
      <c r="A37" s="7" t="inlineStr">
        <is>
          <t>36</t>
        </is>
      </c>
      <c r="B37" s="7" t="inlineStr">
        <is>
          <t>Heute</t>
        </is>
      </c>
      <c r="C37" s="7" t="inlineStr">
        <is>
          <t>Plattform</t>
        </is>
      </c>
      <c r="D37" s="7" t="inlineStr">
        <is>
          <t>ISS-017</t>
        </is>
      </c>
      <c r="E37" s="7" t="inlineStr">
        <is>
          <t>IIS-App-Pool auf Dauerbetrieb stellen</t>
        </is>
      </c>
      <c r="F37" s="7" t="inlineStr">
        <is>
          <t>IT / Ingo</t>
        </is>
      </c>
      <c r="G37" s="7" t="inlineStr">
        <is>
          <t>Hoch</t>
        </is>
      </c>
      <c r="H37" s="155" t="inlineStr">
        <is>
          <t>Offen</t>
        </is>
      </c>
      <c r="I37" s="7" t="inlineStr"/>
      <c r="J37" s="7" t="inlineStr">
        <is>
          <t>Auf tragvapp401 startMode=AlwaysRunning, processModel.idleTimeout=00:00:00, preloadEnabled=true setzen (Befehle in docs/FINANCE_DASHBOARD_PROZESSABLAUF_2026-06-30.md). Ursache, dass der Einkauf-Lauf vom 10.09. bis 28.09. nie lief. Seit 28.09. per Selbstaufruf und Nachhol-Delta überbrückt, nicht ersetzt. | 15.10.: Auch der Monatsabruf Operations KPI und der Shopfloor-Abgleich laufen im App-Prozess; beide holen nach einem Ausfall nach, ersetzen den Dauerbetrieb aber nicht. Weiter offen bei der IT (ISS-017).</t>
        </is>
      </c>
      <c r="K37" s="7" t="inlineStr"/>
      <c r="L37" s="7" t="inlineStr">
        <is>
          <t>PM-09</t>
        </is>
      </c>
      <c r="M37" s="156" t="inlineStr">
        <is>
          <t>Vorhaben</t>
        </is>
      </c>
    </row>
    <row r="38" hidden="1" ht="30" customHeight="1" s="62">
      <c r="A38" s="7" t="inlineStr">
        <is>
          <t>37</t>
        </is>
      </c>
      <c r="B38" s="7" t="inlineStr">
        <is>
          <t>Erledigt</t>
        </is>
      </c>
      <c r="C38" s="7" t="inlineStr">
        <is>
          <t>Plattform</t>
        </is>
      </c>
      <c r="D38" s="7" t="inlineStr">
        <is>
          <t>-</t>
        </is>
      </c>
      <c r="E38" s="7" t="inlineStr">
        <is>
          <t>Tempo der Webapp (größter Kritikpunkt)</t>
        </is>
      </c>
      <c r="F38" s="7" t="inlineStr">
        <is>
          <t>Ingo</t>
        </is>
      </c>
      <c r="G38" s="7" t="inlineStr">
        <is>
          <t>Hoch</t>
        </is>
      </c>
      <c r="H38" s="151" t="inlineStr">
        <is>
          <t>Erledigt</t>
        </is>
      </c>
      <c r="I38" s="7" t="inlineStr"/>
      <c r="J38" s="7" t="inlineStr">
        <is>
          <t>Am 28.09. produktiv umgesetzt (Oberfläche sofort, Cockpit 41 s -&gt; 3,3 s, Export-Dashboard 0,07 s, SQLite-Cache). Offen ist nur noch die IT-Einstellung, geführt als ISS-017 (Zeile 36).</t>
        </is>
      </c>
      <c r="K38" s="7" t="inlineStr">
        <is>
          <t>29.09.2026</t>
        </is>
      </c>
      <c r="L38" s="7" t="inlineStr">
        <is>
          <t>PM-09</t>
        </is>
      </c>
      <c r="M38" s="156" t="inlineStr">
        <is>
          <t>Vorhaben</t>
        </is>
      </c>
    </row>
    <row r="39" hidden="1" ht="45" customHeight="1" s="62">
      <c r="A39" s="7" t="inlineStr">
        <is>
          <t>38</t>
        </is>
      </c>
      <c r="B39" s="7" t="inlineStr">
        <is>
          <t>Erledigt</t>
        </is>
      </c>
      <c r="C39" s="7" t="inlineStr">
        <is>
          <t>HR</t>
        </is>
      </c>
      <c r="D39" s="7" t="inlineStr">
        <is>
          <t>-</t>
        </is>
      </c>
      <c r="E39" s="7" t="inlineStr">
        <is>
          <t>HR-Antworten von Sonja Richter umsetzen</t>
        </is>
      </c>
      <c r="F39" s="7" t="inlineStr">
        <is>
          <t>Ingo</t>
        </is>
      </c>
      <c r="G39" s="7" t="inlineStr">
        <is>
          <t>Mittel</t>
        </is>
      </c>
      <c r="H39" s="151" t="inlineStr">
        <is>
          <t>Erledigt</t>
        </is>
      </c>
      <c r="I39" s="7" t="inlineStr"/>
      <c r="J39" s="7" t="inlineStr">
        <is>
          <t>Langzeitkrank ab 61. Tag, Reminderprofile ohne FTE ausgeschlossen, Restferien-Ampel nach Quartal, gleitende Prognose und Vorjahr. Produktiv seit 28.09.2026 11:25 (5ae7f31). docs/HR_KPI.md Abschnitt 8.</t>
        </is>
      </c>
      <c r="K39" s="7" t="inlineStr">
        <is>
          <t>28.09.2026</t>
        </is>
      </c>
      <c r="L39" s="7" t="inlineStr">
        <is>
          <t>PM-07</t>
        </is>
      </c>
      <c r="M39" s="156" t="inlineStr">
        <is>
          <t>Vorhaben</t>
        </is>
      </c>
    </row>
    <row r="40" hidden="1" ht="45" customHeight="1" s="62">
      <c r="A40" s="7" t="inlineStr">
        <is>
          <t>39</t>
        </is>
      </c>
      <c r="B40" s="7" t="inlineStr">
        <is>
          <t>Nur terminieren</t>
        </is>
      </c>
      <c r="C40" s="7" t="inlineStr">
        <is>
          <t>HR</t>
        </is>
      </c>
      <c r="D40" s="7" t="inlineStr">
        <is>
          <t>-</t>
        </is>
      </c>
      <c r="E40" s="7" t="inlineStr">
        <is>
          <t>HR: periodengenaue Krankenquote und aktuelle Exporte</t>
        </is>
      </c>
      <c r="F40" s="7" t="inlineStr">
        <is>
          <t>Sonja / Ingo</t>
        </is>
      </c>
      <c r="G40" s="7" t="inlineStr">
        <is>
          <t>Mittel</t>
        </is>
      </c>
      <c r="H40" s="151" t="inlineStr">
        <is>
          <t>Erledigt</t>
        </is>
      </c>
      <c r="I40" s="7" t="inlineStr">
        <is>
          <t>nächster Call</t>
        </is>
      </c>
      <c r="J40" s="7" t="inlineStr">
        <is>
          <t>Periodengenau gelöst über SAP PA2001 (HrAbsenzSet, produktiv 01.10. 10:50, HR_KPI.md 8.7). Aktuelle Rexx-Exporte: Zeile 55 (Upgreat), Mail an Sonja: Zeile 54.</t>
        </is>
      </c>
      <c r="K40" s="7" t="inlineStr">
        <is>
          <t>2026-10-01 11:34</t>
        </is>
      </c>
      <c r="L40" s="7" t="inlineStr">
        <is>
          <t>PM-07</t>
        </is>
      </c>
      <c r="M40" s="156" t="inlineStr">
        <is>
          <t>Vorhaben</t>
        </is>
      </c>
    </row>
    <row r="41" hidden="1" ht="45" customHeight="1" s="62">
      <c r="A41" s="7" t="inlineStr">
        <is>
          <t>40</t>
        </is>
      </c>
      <c r="B41" s="7" t="inlineStr">
        <is>
          <t>Heute</t>
        </is>
      </c>
      <c r="C41" s="7" t="inlineStr">
        <is>
          <t>Finance IT</t>
        </is>
      </c>
      <c r="D41" s="7" t="inlineStr">
        <is>
          <t>ISS-007.2</t>
        </is>
      </c>
      <c r="E41" s="7" t="inlineStr">
        <is>
          <t>TR IT Referenzkost je Artikel: Italien baut Abfrage nach</t>
        </is>
      </c>
      <c r="F41" s="7" t="inlineStr">
        <is>
          <t>Ingo / Andreas</t>
        </is>
      </c>
      <c r="G41" s="7" t="inlineStr">
        <is>
          <t>Mittel</t>
        </is>
      </c>
      <c r="H41" s="155" t="inlineStr">
        <is>
          <t>Offen</t>
        </is>
      </c>
      <c r="I41" s="7" t="inlineStr"/>
      <c r="J41" s="7" t="inlineStr">
        <is>
          <t>Paola hat am 29.09. nach Quelle und Lagerumfang gefragt. Antwortentwurf mit Aufteilung je Lager liegt vor (Referenzkosten-Doku 7c): sie soll die physischen Lager nennen, dann Abgleich zum Monatsende.</t>
        </is>
      </c>
      <c r="K41" s="7" t="inlineStr"/>
      <c r="L41" s="7" t="inlineStr">
        <is>
          <t>PM-05</t>
        </is>
      </c>
      <c r="M41" s="152" t="inlineStr">
        <is>
          <t>Projekt</t>
        </is>
      </c>
    </row>
    <row r="42" ht="30" customHeight="1" s="62">
      <c r="A42" s="7" t="inlineStr">
        <is>
          <t>41</t>
        </is>
      </c>
      <c r="B42" s="7" t="inlineStr">
        <is>
          <t>Umsetzung</t>
        </is>
      </c>
      <c r="C42" s="7" t="inlineStr">
        <is>
          <t>Railway</t>
        </is>
      </c>
      <c r="D42" s="7" t="inlineStr">
        <is>
          <t>ISS-016</t>
        </is>
      </c>
      <c r="E42" s="7" t="inlineStr">
        <is>
          <t>Fachliche Kundennummer an deutschen Verkaufszeilen</t>
        </is>
      </c>
      <c r="F42" s="7" t="inlineStr">
        <is>
          <t>Ingo / Rohail</t>
        </is>
      </c>
      <c r="G42" s="7" t="inlineStr">
        <is>
          <t>Hoch</t>
        </is>
      </c>
      <c r="H42" s="7" t="inlineStr">
        <is>
          <t>Grösstenteils erledigt</t>
        </is>
      </c>
      <c r="I42" s="7" t="inlineStr"/>
      <c r="J42" s="7" t="inlineStr">
        <is>
          <t>Gutschriftenauszug bei Rohail anfordern, Doppelnummern Sonepar/EMS/Magnetic Sense fachlich klären, dauerhaft den Join in alphaplanExport.ps1 ergänzen.</t>
        </is>
      </c>
      <c r="K42" s="7" t="inlineStr"/>
      <c r="L42" s="7" t="inlineStr">
        <is>
          <t>PM-08</t>
        </is>
      </c>
      <c r="M42" s="156" t="inlineStr">
        <is>
          <t>Vorhaben</t>
        </is>
      </c>
    </row>
    <row r="43" hidden="1" ht="30" customHeight="1" s="62">
      <c r="A43" s="7" t="inlineStr">
        <is>
          <t>42</t>
        </is>
      </c>
      <c r="B43" s="7" t="inlineStr">
        <is>
          <t>Entscheid</t>
        </is>
      </c>
      <c r="C43" s="7" t="inlineStr">
        <is>
          <t>Finance Standardkosten</t>
        </is>
      </c>
      <c r="D43" s="7" t="inlineStr">
        <is>
          <t>ISS-003.2</t>
        </is>
      </c>
      <c r="E43" s="7" t="inlineStr">
        <is>
          <t>5’274 lokale Zeilen ohne positiven lokalen Standardpreis</t>
        </is>
      </c>
      <c r="F43" s="7" t="inlineStr">
        <is>
          <t>Standorte</t>
        </is>
      </c>
      <c r="G43" s="7" t="inlineStr">
        <is>
          <t>Mittel</t>
        </is>
      </c>
      <c r="H43" s="155" t="inlineStr">
        <is>
          <t>Offen</t>
        </is>
      </c>
      <c r="I43" s="7" t="inlineStr"/>
      <c r="J43" s="7" t="inlineStr">
        <is>
          <t>Fachlich entscheiden, ob Deutschland und Frankreich diese Standardpreise pflegen können.</t>
        </is>
      </c>
      <c r="K43" s="7" t="inlineStr"/>
      <c r="L43" s="7" t="inlineStr">
        <is>
          <t>PM-05</t>
        </is>
      </c>
      <c r="M43" s="152" t="inlineStr">
        <is>
          <t>Projekt</t>
        </is>
      </c>
    </row>
    <row r="44" ht="45" customHeight="1" s="62">
      <c r="A44" s="7" t="inlineStr">
        <is>
          <t>43</t>
        </is>
      </c>
      <c r="B44" s="7" t="inlineStr">
        <is>
          <t>Nur terminieren</t>
        </is>
      </c>
      <c r="C44" s="7" t="inlineStr">
        <is>
          <t>Projektmanagement</t>
        </is>
      </c>
      <c r="D44" s="7" t="inlineStr">
        <is>
          <t>PM-10</t>
        </is>
      </c>
      <c r="E44" s="7" t="inlineStr">
        <is>
          <t>Ablösung Smartsheet: Projektauftrag schreiben</t>
        </is>
      </c>
      <c r="F44" s="7" t="inlineStr">
        <is>
          <t>Ingo / Philip Steiger</t>
        </is>
      </c>
      <c r="G44" s="7" t="inlineStr">
        <is>
          <t>Mittel</t>
        </is>
      </c>
      <c r="H44" s="155" t="inlineStr">
        <is>
          <t>Offen</t>
        </is>
      </c>
      <c r="I44" s="7" t="inlineStr"/>
      <c r="J44" s="7" t="inlineStr">
        <is>
          <t>Projektauftrag in der Initialisierung schreiben (Vorlage im Blatt Vorlage Projektauftrag), Stufe nach Aufwandschätzung festlegen, Abgleich mit dem Project-Power-Pack-Test von Philip Steiger.</t>
        </is>
      </c>
      <c r="K44" s="7" t="inlineStr"/>
      <c r="L44" s="7" t="inlineStr">
        <is>
          <t>PM-10</t>
        </is>
      </c>
      <c r="M44" s="156" t="inlineStr">
        <is>
          <t>Vorhaben</t>
        </is>
      </c>
    </row>
    <row r="45" hidden="1" ht="30" customHeight="1" s="62">
      <c r="A45" s="7" t="inlineStr">
        <is>
          <t>44</t>
        </is>
      </c>
      <c r="B45" s="7" t="inlineStr">
        <is>
          <t>Nur terminieren</t>
        </is>
      </c>
      <c r="C45" s="7" t="inlineStr">
        <is>
          <t>Plattform</t>
        </is>
      </c>
      <c r="D45" s="7" t="inlineStr">
        <is>
          <t>PM-11</t>
        </is>
      </c>
      <c r="E45" s="7" t="inlineStr">
        <is>
          <t>Data Lake: Leistung analysieren und messen</t>
        </is>
      </c>
      <c r="F45" s="7" t="inlineStr">
        <is>
          <t>Ingo</t>
        </is>
      </c>
      <c r="G45" s="7" t="inlineStr">
        <is>
          <t>Mittel</t>
        </is>
      </c>
      <c r="H45" s="151" t="inlineStr">
        <is>
          <t>Erledigt</t>
        </is>
      </c>
      <c r="I45" s="7" t="inlineStr"/>
      <c r="J45" s="7" t="inlineStr">
        <is>
          <t>Klären, welche Leistung gemeint ist und wie sie sich von PM-09 abgrenzt; danach messen und einen kurzen Befund schreiben. | 13.10.: Laut Ingo erledigt (Sitzung 13.10.2026).</t>
        </is>
      </c>
      <c r="K45" s="7" t="inlineStr">
        <is>
          <t>2026-10-13 09:26</t>
        </is>
      </c>
      <c r="L45" s="7" t="inlineStr">
        <is>
          <t>PM-11</t>
        </is>
      </c>
      <c r="M45" s="154" t="inlineStr">
        <is>
          <t>Kleinauftrag</t>
        </is>
      </c>
    </row>
    <row r="46" ht="30" customHeight="1" s="62">
      <c r="A46" s="7" t="inlineStr">
        <is>
          <t>45</t>
        </is>
      </c>
      <c r="B46" s="7" t="inlineStr">
        <is>
          <t>Nur terminieren</t>
        </is>
      </c>
      <c r="C46" s="7" t="inlineStr">
        <is>
          <t>Projektmanagement</t>
        </is>
      </c>
      <c r="D46" s="7" t="inlineStr">
        <is>
          <t>PM-12</t>
        </is>
      </c>
      <c r="E46" s="7" t="inlineStr">
        <is>
          <t>Power BI: Anwendervertreter je Dashboard</t>
        </is>
      </c>
      <c r="F46" s="7" t="inlineStr">
        <is>
          <t>Ingo</t>
        </is>
      </c>
      <c r="G46" s="7" t="inlineStr">
        <is>
          <t>Mittel</t>
        </is>
      </c>
      <c r="H46" s="155" t="inlineStr">
        <is>
          <t>Offen</t>
        </is>
      </c>
      <c r="I46" s="7" t="inlineStr"/>
      <c r="J46" s="7" t="inlineStr">
        <is>
          <t>Produktive Dashboards auflisten und je Dashboard einen Anwendervertreter aus dem Fachbereich benennen lassen.</t>
        </is>
      </c>
      <c r="K46" s="7" t="inlineStr"/>
      <c r="L46" s="7" t="inlineStr">
        <is>
          <t>PM-12</t>
        </is>
      </c>
      <c r="M46" s="154" t="inlineStr">
        <is>
          <t>Kleinauftrag</t>
        </is>
      </c>
    </row>
    <row r="47" hidden="1" ht="45" customHeight="1" s="62">
      <c r="A47" s="7" t="inlineStr">
        <is>
          <t>46</t>
        </is>
      </c>
      <c r="B47" s="7" t="inlineStr">
        <is>
          <t>Entscheid</t>
        </is>
      </c>
      <c r="C47" s="7" t="inlineStr">
        <is>
          <t>Finance Gruppenmarge</t>
        </is>
      </c>
      <c r="D47" s="7" t="inlineStr">
        <is>
          <t>ISS-018</t>
        </is>
      </c>
      <c r="E47" s="7" t="inlineStr">
        <is>
          <t>Konsistenz: A1 offen, A3/A4 behoben, A5 ausgewiesen (ISS-018.1 bis .4)</t>
        </is>
      </c>
      <c r="F47" s="7" t="inlineStr">
        <is>
          <t>Andreas / Ingo</t>
        </is>
      </c>
      <c r="G47" s="7" t="inlineStr">
        <is>
          <t>Hoch</t>
        </is>
      </c>
      <c r="H47" s="7" t="inlineStr">
        <is>
          <t>Wartet auf Entscheid</t>
        </is>
      </c>
      <c r="I47" s="7" t="inlineStr"/>
      <c r="J47" s="7" t="inlineStr">
        <is>
          <t>A3 und A4 behoben, A5 im Export ausgewiesen, produktiv seit 29.09.2026 10:22 (91fd9dc). Offen: A1, mit welchem Kurs der CHF-Schalter rechnen soll (Kursprofil oder 31.12.) – Andreas.</t>
        </is>
      </c>
      <c r="K47" s="7" t="inlineStr"/>
      <c r="L47" s="7" t="inlineStr">
        <is>
          <t>PM-05</t>
        </is>
      </c>
      <c r="M47" s="152" t="inlineStr">
        <is>
          <t>Projekt</t>
        </is>
      </c>
    </row>
    <row r="48" hidden="1" ht="75" customHeight="1" s="62">
      <c r="A48" s="7" t="inlineStr">
        <is>
          <t>47</t>
        </is>
      </c>
      <c r="B48" s="7" t="inlineStr">
        <is>
          <t>Entscheid</t>
        </is>
      </c>
      <c r="C48" s="7" t="inlineStr">
        <is>
          <t>Finance Gruppenmarge</t>
        </is>
      </c>
      <c r="D48" s="7" t="inlineStr">
        <is>
          <t>ISS-018</t>
        </is>
      </c>
      <c r="E48" s="7" t="inlineStr">
        <is>
          <t>Konsistenz: Fachentscheide B1 bis B3 (ISS-018.5 bis .7)</t>
        </is>
      </c>
      <c r="F48" s="7" t="inlineStr">
        <is>
          <t>Andreas / Ingo</t>
        </is>
      </c>
      <c r="G48" s="7" t="inlineStr">
        <is>
          <t>Hoch</t>
        </is>
      </c>
      <c r="H48" s="155" t="inlineStr">
        <is>
          <t>Offen</t>
        </is>
      </c>
      <c r="I48" s="7" t="inlineStr"/>
      <c r="J48" s="7" t="inlineStr">
        <is>
          <t>Fallzahlen 01.10. (Produktiv-DB, CentralSalesRecords ab 2025): B1 Menge 0 mit Wertgutschrift: 57 Zeilen, keine mit Stückkosten, derzeit ohne Wirkung. B2 kostenlose Ware (Umsatz 0, Menge und Kosten ≠ 0): an allen Standorten, grösster Teil CH 2025 1'843 Zeilen (297 TEUR + 225 TCHF Kosten), 2026 753 Zeilen; Details ISS-018.6. B3 nicht per SQL zählbar (Klassifizierung im Code). Andreas entscheidet.</t>
        </is>
      </c>
      <c r="K48" s="7" t="inlineStr"/>
      <c r="L48" s="7" t="inlineStr">
        <is>
          <t>PM-05</t>
        </is>
      </c>
      <c r="M48" s="152" t="inlineStr">
        <is>
          <t>Projekt</t>
        </is>
      </c>
    </row>
    <row r="49" hidden="1" ht="90" customHeight="1" s="62">
      <c r="A49" s="7" t="inlineStr">
        <is>
          <t>48</t>
        </is>
      </c>
      <c r="B49" s="7" t="inlineStr">
        <is>
          <t>Heute</t>
        </is>
      </c>
      <c r="C49" s="7" t="inlineStr">
        <is>
          <t>Railway</t>
        </is>
      </c>
      <c r="D49" s="7" t="inlineStr">
        <is>
          <t>ISS-019</t>
        </is>
      </c>
      <c r="E49" s="7" t="inlineStr">
        <is>
          <t>Railway-Gesamtsicht für Heiko und Patrick, DB4 klären</t>
        </is>
      </c>
      <c r="F49" s="7" t="inlineStr">
        <is>
          <t>Ingo / Patrik / Andreas</t>
        </is>
      </c>
      <c r="G49" s="7" t="inlineStr">
        <is>
          <t>Hoch</t>
        </is>
      </c>
      <c r="H49" s="153" t="inlineStr">
        <is>
          <t>Läuft</t>
        </is>
      </c>
      <c r="I49" s="7" t="inlineStr"/>
      <c r="J49" s="7" t="inlineStr">
        <is>
          <t>Umsatz-Gesamtsicht am 29.09. erstellt und plausibilisiert (Railway_Umsatz_Gesamtsicht_2026-09-29.xlsx), Teams-Text an Rohail liegt vor. Offen: Top 15 bestätigen, Schweiz über Andreas’ AG-Sicht, DB4-Definition. NACHTRAG 01.10.: Rückfrage, bis wann DB4 kommt (für Heiko), und Korrekturanfrage Patrick „Account designation Marketsegment SAP.xlsx“ (Datei noch nicht gesehen, Zusammenhang offen). Ingos Schätzung ca. 2 Wochen gilt nur für die Zusatzfelder an den Standorten; vorher DB4-Definition mit Andreas und Rohail, erst dann Termin.</t>
        </is>
      </c>
      <c r="K49" s="7" t="inlineStr"/>
      <c r="L49" s="7" t="inlineStr">
        <is>
          <t>PM-08</t>
        </is>
      </c>
      <c r="M49" s="156" t="inlineStr">
        <is>
          <t>Vorhaben</t>
        </is>
      </c>
    </row>
    <row r="50" hidden="1" ht="30" customHeight="1" s="62">
      <c r="A50" s="7" t="inlineStr">
        <is>
          <t>49</t>
        </is>
      </c>
      <c r="B50" s="7" t="inlineStr">
        <is>
          <t>Heute</t>
        </is>
      </c>
      <c r="C50" s="7" t="inlineStr">
        <is>
          <t>Finance ES</t>
        </is>
      </c>
      <c r="D50" s="7" t="inlineStr">
        <is>
          <t>ISS-020</t>
        </is>
      </c>
      <c r="E50" s="7" t="inlineStr">
        <is>
          <t>Spanien: seit Mitte Juli keine neuen Zeilen im Import</t>
        </is>
      </c>
      <c r="F50" s="7" t="inlineStr">
        <is>
          <t>Ingo</t>
        </is>
      </c>
      <c r="G50" s="7" t="inlineStr">
        <is>
          <t>Hoch</t>
        </is>
      </c>
      <c r="H50" s="151" t="inlineStr">
        <is>
          <t>Erledigt</t>
        </is>
      </c>
      <c r="I50" s="7" t="inlineStr"/>
      <c r="J50" s="7" t="inlineStr">
        <is>
          <t>Ursache SharePoint-Ordnerliste (200 Einträge) behoben, deployed 09:25; Sales_All_2026-09-29 enthält Spanien bis 28.09.2026 (8'109 Zeilen).</t>
        </is>
      </c>
      <c r="K50" s="7" t="inlineStr">
        <is>
          <t>29.09.2026</t>
        </is>
      </c>
      <c r="L50" s="7" t="inlineStr">
        <is>
          <t>PM-05</t>
        </is>
      </c>
      <c r="M50" s="152" t="inlineStr">
        <is>
          <t>Projekt</t>
        </is>
      </c>
    </row>
    <row r="51" hidden="1" ht="45" customHeight="1" s="62">
      <c r="A51" s="7" t="inlineStr">
        <is>
          <t>50</t>
        </is>
      </c>
      <c r="B51" s="7" t="inlineStr">
        <is>
          <t>Umsetzung</t>
        </is>
      </c>
      <c r="C51" s="7" t="inlineStr">
        <is>
          <t>HR</t>
        </is>
      </c>
      <c r="D51" s="7" t="inlineStr">
        <is>
          <t>PM-07</t>
        </is>
      </c>
      <c r="E51" s="7" t="inlineStr">
        <is>
          <t>HR-Review-Reparaturen von Codex committen, deployen, sichtprüfen</t>
        </is>
      </c>
      <c r="F51" s="7" t="inlineStr">
        <is>
          <t>Ingo</t>
        </is>
      </c>
      <c r="G51" s="7" t="inlineStr">
        <is>
          <t>Hoch</t>
        </is>
      </c>
      <c r="H51" s="151" t="inlineStr">
        <is>
          <t>Erledigt</t>
        </is>
      </c>
      <c r="I51" s="7" t="inlineStr"/>
      <c r="J51" s="7" t="inlineStr">
        <is>
          <t>H1 bis H5 (Zeitraum/YTD, Personenquote, Jahresfilter, Tabellenkappung) sind committet (eafd1c5, c1fdfa2) und seit 29.09.2026 10:07 produktiv. Offen bleibt nur die angemeldete Sichtprüfung.</t>
        </is>
      </c>
      <c r="K51" s="7" t="inlineStr">
        <is>
          <t>29.09.2026</t>
        </is>
      </c>
      <c r="L51" s="7" t="inlineStr">
        <is>
          <t>PM-07</t>
        </is>
      </c>
      <c r="M51" s="156" t="inlineStr">
        <is>
          <t>Vorhaben</t>
        </is>
      </c>
    </row>
    <row r="52" hidden="1" ht="45" customHeight="1" s="62">
      <c r="A52" s="7" t="inlineStr">
        <is>
          <t>51</t>
        </is>
      </c>
      <c r="B52" s="7" t="inlineStr">
        <is>
          <t>Umsetzung</t>
        </is>
      </c>
      <c r="C52" s="7" t="inlineStr">
        <is>
          <t>Einkauf</t>
        </is>
      </c>
      <c r="D52" s="7" t="inlineStr">
        <is>
          <t>PM-04</t>
        </is>
      </c>
      <c r="E52" s="7" t="inlineStr">
        <is>
          <t>Einkauf-Review-Reparaturen von Codex committen, deployen, sichtprüfen</t>
        </is>
      </c>
      <c r="F52" s="7" t="inlineStr">
        <is>
          <t>Ingo</t>
        </is>
      </c>
      <c r="G52" s="7" t="inlineStr">
        <is>
          <t>Hoch</t>
        </is>
      </c>
      <c r="H52" s="151" t="inlineStr">
        <is>
          <t>Erledigt</t>
        </is>
      </c>
      <c r="I52" s="7" t="inlineStr"/>
      <c r="J52" s="7" t="inlineStr">
        <is>
          <t>E1 Jahres-Spend ungekappt, E2 Warengruppe einheitlich, C1 keine Live-Stichproben-KPIs, C2 Warnung bei fehlenden Kursen sind committet (eafd1c5, c1fdfa2) und seit 29.09.2026 10:07 produktiv. Offen bleibt nur die angemeldete Sichtprüfung.</t>
        </is>
      </c>
      <c r="K52" s="7" t="inlineStr">
        <is>
          <t>29.09.2026</t>
        </is>
      </c>
      <c r="L52" s="7" t="inlineStr">
        <is>
          <t>PM-04</t>
        </is>
      </c>
      <c r="M52" s="152" t="inlineStr">
        <is>
          <t>Projekt</t>
        </is>
      </c>
    </row>
    <row r="53" ht="45" customHeight="1" s="62">
      <c r="A53" s="7" t="inlineStr">
        <is>
          <t>52</t>
        </is>
      </c>
      <c r="B53" s="7" t="inlineStr">
        <is>
          <t>Heute</t>
        </is>
      </c>
      <c r="C53" s="7" t="inlineStr">
        <is>
          <t>Railway</t>
        </is>
      </c>
      <c r="D53" s="7" t="inlineStr">
        <is>
          <t>ISS-019</t>
        </is>
      </c>
      <c r="E53" s="7" t="inlineStr">
        <is>
          <t>Railway: Top 15 Vorschläge und Schweiz mit Andreas bestätigen, ITEC verwerfen</t>
        </is>
      </c>
      <c r="F53" s="7" t="inlineStr">
        <is>
          <t>Ingo / Andreas / Patrik</t>
        </is>
      </c>
      <c r="G53" s="7" t="inlineStr">
        <is>
          <t>Hoch</t>
        </is>
      </c>
      <c r="H53" s="155" t="inlineStr">
        <is>
          <t>Offen</t>
        </is>
      </c>
      <c r="I53" s="7" t="inlineStr"/>
      <c r="J53" s="7" t="inlineStr">
        <is>
          <t>Top 15 = 70 % des vorgeschlagenen Umsatzes; Schweiz über Andreas’ AG-Railway-Sicht; ITEC S.R.L. (Lohnfertiger TR IT) in /marktsegmente verwerfen; danach bereinigte Übersicht an Rohail.</t>
        </is>
      </c>
      <c r="K53" s="7" t="inlineStr"/>
      <c r="L53" s="7" t="inlineStr">
        <is>
          <t>PM-08</t>
        </is>
      </c>
      <c r="M53" s="156" t="inlineStr">
        <is>
          <t>Vorhaben</t>
        </is>
      </c>
    </row>
    <row r="54" ht="45" customHeight="1" s="62">
      <c r="A54" s="7" t="inlineStr">
        <is>
          <t>53</t>
        </is>
      </c>
      <c r="B54" s="7" t="inlineStr">
        <is>
          <t>Nur terminieren</t>
        </is>
      </c>
      <c r="C54" s="7" t="inlineStr">
        <is>
          <t>Railway</t>
        </is>
      </c>
      <c r="D54" s="7" t="inlineStr">
        <is>
          <t>ISS-019</t>
        </is>
      </c>
      <c r="E54" s="7" t="inlineStr">
        <is>
          <t>Spanien 2026: Railway-Anteil 30 % (CAF, Barat) beim Standort plausibilisieren</t>
        </is>
      </c>
      <c r="F54" s="7" t="inlineStr">
        <is>
          <t>Ingo / Santi</t>
        </is>
      </c>
      <c r="G54" s="7" t="inlineStr">
        <is>
          <t>Mittel</t>
        </is>
      </c>
      <c r="H54" s="155" t="inlineStr">
        <is>
          <t>Offen</t>
        </is>
      </c>
      <c r="I54" s="7" t="inlineStr"/>
      <c r="J54" s="7" t="inlineStr">
        <is>
          <t>913 TEUR 2026 gegen 387 TEUR 2025, fast alles CAF und Barat; kurz nachfragen, ob Projektgeschäft.</t>
        </is>
      </c>
      <c r="K54" s="7" t="inlineStr"/>
      <c r="L54" s="7" t="inlineStr">
        <is>
          <t>PM-08</t>
        </is>
      </c>
      <c r="M54" s="156" t="inlineStr">
        <is>
          <t>Vorhaben</t>
        </is>
      </c>
    </row>
    <row r="55" ht="45" customHeight="1" s="62">
      <c r="A55" s="7" t="inlineStr">
        <is>
          <t>54</t>
        </is>
      </c>
      <c r="B55" s="7" t="inlineStr">
        <is>
          <t>Heute</t>
        </is>
      </c>
      <c r="C55" s="7" t="inlineStr">
        <is>
          <t>HR</t>
        </is>
      </c>
      <c r="D55" s="7" t="inlineStr">
        <is>
          <t>PM-07</t>
        </is>
      </c>
      <c r="E55" s="7" t="inlineStr">
        <is>
          <t>Mail an Sonja ergänzen (Punkt 2 fehlt) und senden, offene Wünsche ansprechen</t>
        </is>
      </c>
      <c r="F55" s="7" t="inlineStr">
        <is>
          <t>Ingo</t>
        </is>
      </c>
      <c r="G55" s="7" t="inlineStr">
        <is>
          <t>Mittel</t>
        </is>
      </c>
      <c r="H55" s="155" t="inlineStr">
        <is>
          <t>Offen</t>
        </is>
      </c>
      <c r="I55" s="7" t="inlineStr"/>
      <c r="J55" s="7" t="inlineStr">
        <is>
          <t>Entwurf liegt in Outlook; Punkt 2 (aktuelle Exporte) fehlt. Dabei die offenen Wünsche vom 03.02. (Ferien am Stück, Fit-&amp;-Wohl, Übertrag Restferien) und die Reihenfolge klären.</t>
        </is>
      </c>
      <c r="K55" s="7" t="inlineStr"/>
      <c r="L55" s="7" t="inlineStr">
        <is>
          <t>PM-07</t>
        </is>
      </c>
      <c r="M55" s="156" t="inlineStr">
        <is>
          <t>Vorhaben</t>
        </is>
      </c>
    </row>
    <row r="56" ht="75" customHeight="1" s="62">
      <c r="A56" s="7" t="inlineStr">
        <is>
          <t>55</t>
        </is>
      </c>
      <c r="B56" s="7" t="inlineStr">
        <is>
          <t>Nur terminieren</t>
        </is>
      </c>
      <c r="C56" s="7" t="inlineStr">
        <is>
          <t>HR</t>
        </is>
      </c>
      <c r="D56" s="7" t="inlineStr">
        <is>
          <t>PM-07</t>
        </is>
      </c>
      <c r="E56" s="7" t="inlineStr">
        <is>
          <t>Rexx-Export ohne Hub über Upgreat</t>
        </is>
      </c>
      <c r="F56" s="7" t="inlineStr">
        <is>
          <t>Ingo</t>
        </is>
      </c>
      <c r="G56" s="7" t="inlineStr">
        <is>
          <t>Mittel</t>
        </is>
      </c>
      <c r="H56" s="7" t="inlineStr">
        <is>
          <t>Wartet auf externe Firma</t>
        </is>
      </c>
      <c r="I56" s="7" t="inlineStr"/>
      <c r="J56" s="7" t="inlineStr">
        <is>
          <t>Kein Rexx-Hub (Ingo 30.09.). Mail an Ueli Kunzmann (Upgreat) am 30.09. versendet: vier Rexx-Berichte täglich in den HR-Datenordner. Antwort abwarten, Pfad und Berechtigung klären; mit Nadja klären, ob der Hub-Auftrag bei Rexx zurückgenommen wird. | 13.10.: Ueli Kunzmann antwortete am 01.10. 06:26, er sei nicht mehr für Trafag zuständig und leite weiter; eine inhaltliche Antwort fehlt. Neuen Ansprechpartner bei Upgreat erfragen.</t>
        </is>
      </c>
      <c r="K56" s="7" t="inlineStr"/>
      <c r="L56" s="7" t="inlineStr">
        <is>
          <t>PM-07</t>
        </is>
      </c>
      <c r="M56" s="156" t="inlineStr">
        <is>
          <t>Vorhaben</t>
        </is>
      </c>
    </row>
    <row r="57" ht="45" customHeight="1" s="62">
      <c r="A57" s="7" t="inlineStr">
        <is>
          <t>56</t>
        </is>
      </c>
      <c r="B57" s="7" t="inlineStr">
        <is>
          <t>Nur terminieren</t>
        </is>
      </c>
      <c r="C57" s="7" t="inlineStr">
        <is>
          <t>SAP ZZPRDAT</t>
        </is>
      </c>
      <c r="D57" s="7" t="inlineStr">
        <is>
          <t>PM-03</t>
        </is>
      </c>
      <c r="E57" s="7" t="inlineStr">
        <is>
          <t>ZZPRDAT: Ergebnis des Abnahmetests mit Lucas festhalten</t>
        </is>
      </c>
      <c r="F57" s="7" t="inlineStr">
        <is>
          <t>Ingo</t>
        </is>
      </c>
      <c r="G57" s="7" t="inlineStr">
        <is>
          <t>Hoch</t>
        </is>
      </c>
      <c r="H57" s="7" t="inlineStr">
        <is>
          <t>Terminiert</t>
        </is>
      </c>
      <c r="I57" s="7" t="inlineStr">
        <is>
          <t>2026-10-26</t>
        </is>
      </c>
      <c r="J57" s="7" t="inlineStr">
        <is>
          <t>12.10.: Test (geplant 12.10. 16:00, Lucas, Marco, Adil, Ingo) um zwei Wochen verschoben, voraussichtlich Woche ab 26.10.2026, genauer Termin offen. Technik in T76 unverändert seit 07.09. (T76K912490 offen). Danach Ergebnis festhalten. saptasks/ZZPRDAT_TRANSPORTPLAN.md</t>
        </is>
      </c>
      <c r="K57" s="7" t="inlineStr"/>
      <c r="L57" s="7" t="inlineStr">
        <is>
          <t>PM-03</t>
        </is>
      </c>
      <c r="M57" s="156" t="inlineStr">
        <is>
          <t>Vorhaben</t>
        </is>
      </c>
    </row>
    <row r="58" ht="30" customHeight="1" s="62">
      <c r="A58" s="7" t="inlineStr">
        <is>
          <t>57</t>
        </is>
      </c>
      <c r="B58" s="7" t="inlineStr">
        <is>
          <t>Nur terminieren</t>
        </is>
      </c>
      <c r="C58" s="7" t="inlineStr">
        <is>
          <t>Plattform</t>
        </is>
      </c>
      <c r="D58" s="7" t="inlineStr">
        <is>
          <t>PM-09</t>
        </is>
      </c>
      <c r="E58" s="7" t="inlineStr">
        <is>
          <t>Upgreat antworten: Webapp schneller?</t>
        </is>
      </c>
      <c r="F58" s="7" t="inlineStr">
        <is>
          <t>Ingo</t>
        </is>
      </c>
      <c r="G58" s="7" t="inlineStr">
        <is>
          <t>Niedrig</t>
        </is>
      </c>
      <c r="H58" s="7" t="inlineStr">
        <is>
          <t>Entwurf liegt vor</t>
        </is>
      </c>
      <c r="I58" s="7" t="inlineStr"/>
      <c r="J58" s="7" t="inlineStr">
        <is>
          <t>Antwort als .eml in Downloads (Mail_Dardan_Upgreat_Tempo_Webapp_2026-10-01.eml), Empfänger eintragen und senden (Ingo).</t>
        </is>
      </c>
      <c r="K58" s="7" t="inlineStr"/>
      <c r="L58" s="7" t="inlineStr">
        <is>
          <t>PM-09</t>
        </is>
      </c>
      <c r="M58" s="156" t="inlineStr">
        <is>
          <t>Vorhaben</t>
        </is>
      </c>
    </row>
    <row r="59" hidden="1" ht="75" customHeight="1" s="62">
      <c r="A59" s="7" t="inlineStr">
        <is>
          <t>58</t>
        </is>
      </c>
      <c r="B59" s="7" t="inlineStr">
        <is>
          <t>Entscheid</t>
        </is>
      </c>
      <c r="C59" s="7" t="inlineStr">
        <is>
          <t>Finance IT</t>
        </is>
      </c>
      <c r="D59" s="7" t="inlineStr">
        <is>
          <t>ISS-021</t>
        </is>
      </c>
      <c r="E59" s="7" t="inlineStr">
        <is>
          <t>Italien: Doppelzeilen (Lieferantenadresse) und provisorischer Kundenausschluss hoben sich auf; beides behoben</t>
        </is>
      </c>
      <c r="F59" s="7" t="inlineStr">
        <is>
          <t>Ingo / Andreas</t>
        </is>
      </c>
      <c r="G59" s="7" t="inlineStr">
        <is>
          <t>Hoch</t>
        </is>
      </c>
      <c r="H59" s="151" t="inlineStr">
        <is>
          <t>Erledigt</t>
        </is>
      </c>
      <c r="I59" s="7" t="inlineStr"/>
      <c r="J59" s="7" t="inlineStr">
        <is>
          <t>Nachgewiesen 30.09.: Italien 2025 7,70 Mio. EUR, 0,36 % über Rhino; keine Doppelzeilen mehr. Andreas informieren.</t>
        </is>
      </c>
      <c r="K59" s="7" t="inlineStr">
        <is>
          <t>30.09.2026</t>
        </is>
      </c>
      <c r="L59" s="7" t="inlineStr">
        <is>
          <t>PM-05</t>
        </is>
      </c>
      <c r="M59" s="152" t="inlineStr">
        <is>
          <t>Projekt</t>
        </is>
      </c>
    </row>
    <row r="60" hidden="1" ht="45" customHeight="1" s="62">
      <c r="A60" s="7" t="inlineStr">
        <is>
          <t>59</t>
        </is>
      </c>
      <c r="B60" s="7" t="inlineStr">
        <is>
          <t>Entscheid</t>
        </is>
      </c>
      <c r="C60" s="7" t="inlineStr">
        <is>
          <t>Finance CH</t>
        </is>
      </c>
      <c r="D60" s="7" t="inlineStr">
        <is>
          <t>ISS-022</t>
        </is>
      </c>
      <c r="E60" s="7" t="inlineStr">
        <is>
          <t>Proforma F5/F8 im Schweizer Umsatz: 2025 1,91 Mio., 2026 5,97 Mio. CHF</t>
        </is>
      </c>
      <c r="F60" s="7" t="inlineStr">
        <is>
          <t>Andreas / Ingo</t>
        </is>
      </c>
      <c r="G60" s="7" t="inlineStr">
        <is>
          <t>Hoch</t>
        </is>
      </c>
      <c r="H60" s="7" t="inlineStr">
        <is>
          <t>Wartet auf Entscheid</t>
        </is>
      </c>
      <c r="I60" s="7" t="inlineStr"/>
      <c r="J60" s="7" t="inlineStr">
        <is>
          <t>Andreas entscheiden lassen, ob F5/F8 in Net Sales gehören; danach Regel je Belegart.</t>
        </is>
      </c>
      <c r="K60" s="7" t="inlineStr"/>
      <c r="L60" s="7" t="inlineStr">
        <is>
          <t>PM-05</t>
        </is>
      </c>
      <c r="M60" s="152" t="inlineStr">
        <is>
          <t>Projekt</t>
        </is>
      </c>
    </row>
    <row r="61" hidden="1" ht="45" customHeight="1" s="62">
      <c r="A61" s="7" t="inlineStr">
        <is>
          <t>60</t>
        </is>
      </c>
      <c r="B61" s="7" t="inlineStr">
        <is>
          <t>Entscheid</t>
        </is>
      </c>
      <c r="C61" s="7" t="inlineStr">
        <is>
          <t>Finance Sollwerte</t>
        </is>
      </c>
      <c r="D61" s="7" t="inlineStr">
        <is>
          <t>ISS-024</t>
        </is>
      </c>
      <c r="E61" s="7" t="inlineStr">
        <is>
          <t>Kein Sollwert für CH (auch CN, RU), dazu fehlen alle Sollwerte 2026 (ISS-023)</t>
        </is>
      </c>
      <c r="F61" s="7" t="inlineStr">
        <is>
          <t>Andreas</t>
        </is>
      </c>
      <c r="G61" s="7" t="inlineStr">
        <is>
          <t>Hoch</t>
        </is>
      </c>
      <c r="H61" s="7" t="inlineStr">
        <is>
          <t>Wartet auf Daten</t>
        </is>
      </c>
      <c r="I61" s="7" t="inlineStr"/>
      <c r="J61" s="7" t="inlineStr">
        <is>
          <t>Sollwerte CH und 2026 bei Andreas anfordern.</t>
        </is>
      </c>
      <c r="K61" s="7" t="inlineStr"/>
      <c r="L61" s="7" t="inlineStr">
        <is>
          <t>PM-05</t>
        </is>
      </c>
      <c r="M61" s="152" t="inlineStr">
        <is>
          <t>Projekt</t>
        </is>
      </c>
    </row>
    <row r="62" ht="45" customHeight="1" s="62">
      <c r="A62" s="7" t="inlineStr">
        <is>
          <t>61</t>
        </is>
      </c>
      <c r="B62" s="7" t="inlineStr">
        <is>
          <t>Heute</t>
        </is>
      </c>
      <c r="C62" s="7" t="inlineStr">
        <is>
          <t>Standortdaten DE</t>
        </is>
      </c>
      <c r="D62" s="7" t="inlineStr">
        <is>
          <t>ISS-029</t>
        </is>
      </c>
      <c r="E62" s="7" t="inlineStr">
        <is>
          <t>Deutschland endet am 23.09.2026, September erst 125 Zeilen</t>
        </is>
      </c>
      <c r="F62" s="7" t="inlineStr">
        <is>
          <t>Ingo</t>
        </is>
      </c>
      <c r="G62" s="7" t="inlineStr">
        <is>
          <t>Hoch</t>
        </is>
      </c>
      <c r="H62" s="7" t="inlineStr">
        <is>
          <t>Wartet auf DE</t>
        </is>
      </c>
      <c r="I62" s="7" t="inlineStr"/>
      <c r="J62" s="7" t="inlineStr">
        <is>
          <t>Import in Ordnung; Alphaplan-Delta seit 24.09. fast leer (2-3 KB statt 12-15 KB). Rohail/IT DE fragen. Nachgemessen 01.10.: weiter dünn, September 131 Zeilen, seit 24.09. nur 6, letzte Rechnung 29.09., Extraktion 30.09.</t>
        </is>
      </c>
      <c r="K62" s="7" t="inlineStr"/>
      <c r="L62" s="7" t="inlineStr">
        <is>
          <t>PM-05</t>
        </is>
      </c>
      <c r="M62" s="152" t="inlineStr">
        <is>
          <t>Projekt</t>
        </is>
      </c>
    </row>
    <row r="63" hidden="1" ht="45" customHeight="1" s="62">
      <c r="A63" s="7" t="inlineStr">
        <is>
          <t>62</t>
        </is>
      </c>
      <c r="B63" s="7" t="inlineStr">
        <is>
          <t>Umsetzung</t>
        </is>
      </c>
      <c r="C63" s="7" t="inlineStr">
        <is>
          <t>Standortdaten IN</t>
        </is>
      </c>
      <c r="D63" s="7" t="inlineStr">
        <is>
          <t>ISS-030</t>
        </is>
      </c>
      <c r="E63" s="7" t="inlineStr">
        <is>
          <t>Indien liefert 17 Positionen mehrfach (andere Ursache als Italien)</t>
        </is>
      </c>
      <c r="F63" s="7" t="inlineStr">
        <is>
          <t>Ingo</t>
        </is>
      </c>
      <c r="G63" s="7" t="inlineStr">
        <is>
          <t>Mittel</t>
        </is>
      </c>
      <c r="H63" s="151" t="inlineStr">
        <is>
          <t>Erledigt</t>
        </is>
      </c>
      <c r="I63" s="7" t="inlineStr"/>
      <c r="J63" s="7" t="inlineStr">
        <is>
          <t>Gleiche Ursache wie ISS-021 (zwei IN-Adressen je Lieferant), mit 15:02 behoben; nach Export 30.09. nachmessen.</t>
        </is>
      </c>
      <c r="K63" s="7" t="inlineStr">
        <is>
          <t>29.09.2026</t>
        </is>
      </c>
      <c r="L63" s="7" t="inlineStr">
        <is>
          <t>PM-05</t>
        </is>
      </c>
      <c r="M63" s="152" t="inlineStr">
        <is>
          <t>Projekt</t>
        </is>
      </c>
    </row>
    <row r="64" hidden="1" ht="45" customHeight="1" s="62">
      <c r="A64" s="7" t="inlineStr">
        <is>
          <t>63</t>
        </is>
      </c>
      <c r="B64" s="7" t="inlineStr">
        <is>
          <t>Umsetzung</t>
        </is>
      </c>
      <c r="C64" s="7" t="inlineStr">
        <is>
          <t>Finance Technik</t>
        </is>
      </c>
      <c r="D64" s="7" t="inlineStr">
        <is>
          <t>ISS-026/027</t>
        </is>
      </c>
      <c r="E64" s="7" t="inlineStr">
        <is>
          <t>Kleinfixes: Gutschriften nach Belegart erkennen, OK-Text in der Excel-Formel als Konstante</t>
        </is>
      </c>
      <c r="F64" s="7" t="inlineStr">
        <is>
          <t>Ingo</t>
        </is>
      </c>
      <c r="G64" s="7" t="inlineStr">
        <is>
          <t>Niedrig</t>
        </is>
      </c>
      <c r="H64" s="151" t="inlineStr">
        <is>
          <t>Erledigt</t>
        </is>
      </c>
      <c r="I64" s="7" t="inlineStr"/>
      <c r="J64" s="7" t="inlineStr">
        <is>
          <t>Produktiv 29.09.2026 15:58 (b699fa5).</t>
        </is>
      </c>
      <c r="K64" s="7" t="inlineStr">
        <is>
          <t>29.09.2026</t>
        </is>
      </c>
      <c r="L64" s="7" t="inlineStr">
        <is>
          <t>PM-05</t>
        </is>
      </c>
      <c r="M64" s="152" t="inlineStr">
        <is>
          <t>Projekt</t>
        </is>
      </c>
    </row>
    <row r="65" hidden="1" ht="30" customHeight="1" s="62">
      <c r="A65" s="7" t="inlineStr">
        <is>
          <t>64</t>
        </is>
      </c>
      <c r="B65" s="7" t="inlineStr">
        <is>
          <t>Nur terminieren</t>
        </is>
      </c>
      <c r="C65" s="7" t="inlineStr">
        <is>
          <t>Finance Abnahme</t>
        </is>
      </c>
      <c r="D65" s="7" t="inlineStr">
        <is>
          <t>ISS-028</t>
        </is>
      </c>
      <c r="E65" s="7" t="inlineStr">
        <is>
          <t>Sichtprüfung Cockpit angemeldet, auch Dunkelmodus</t>
        </is>
      </c>
      <c r="F65" s="7" t="inlineStr">
        <is>
          <t>Ingo</t>
        </is>
      </c>
      <c r="G65" s="7" t="inlineStr">
        <is>
          <t>Mittel</t>
        </is>
      </c>
      <c r="H65" s="155" t="inlineStr">
        <is>
          <t>Offen</t>
        </is>
      </c>
      <c r="I65" s="7" t="inlineStr"/>
      <c r="J65" s="7" t="inlineStr">
        <is>
          <t>Management-Cockpit und Finance-Vergleich durchsehen.</t>
        </is>
      </c>
      <c r="K65" s="7" t="inlineStr"/>
      <c r="L65" s="7" t="inlineStr">
        <is>
          <t>PM-05</t>
        </is>
      </c>
      <c r="M65" s="152" t="inlineStr">
        <is>
          <t>Projekt</t>
        </is>
      </c>
    </row>
    <row r="66" hidden="1" ht="45" customHeight="1" s="62">
      <c r="A66" s="7" t="inlineStr">
        <is>
          <t>65</t>
        </is>
      </c>
      <c r="B66" s="7" t="inlineStr">
        <is>
          <t>Umsetzung</t>
        </is>
      </c>
      <c r="C66" s="7" t="inlineStr">
        <is>
          <t>HR</t>
        </is>
      </c>
      <c r="D66" s="7" t="inlineStr">
        <is>
          <t>PM-07</t>
        </is>
      </c>
      <c r="E66" s="7" t="inlineStr">
        <is>
          <t>SAP-HR-Datei automatisch über HrKpiSet produktiv setzen</t>
        </is>
      </c>
      <c r="F66" s="7" t="inlineStr">
        <is>
          <t>Ingo</t>
        </is>
      </c>
      <c r="G66" s="7" t="inlineStr">
        <is>
          <t>Hoch</t>
        </is>
      </c>
      <c r="H66" s="151" t="inlineStr">
        <is>
          <t>Erledigt</t>
        </is>
      </c>
      <c r="I66" s="7" t="inlineStr"/>
      <c r="J66" s="7" t="inlineStr">
        <is>
          <t>Produktiv: Transport T76K912530 in P76, Wertestichprobe bestanden, erster Abruf 01.10. 09:46 mit 1'168 Personen, danach täglich ab 05:00. Laufender Monat bleibt (Entscheid 01.10.), Unfalltage-Kacheln entsprechend beschriftet (931f151).</t>
        </is>
      </c>
      <c r="K66" s="7" t="inlineStr">
        <is>
          <t>2026-10-01</t>
        </is>
      </c>
      <c r="L66" s="7" t="inlineStr">
        <is>
          <t>PM-07</t>
        </is>
      </c>
      <c r="M66" s="156" t="inlineStr">
        <is>
          <t>Vorhaben</t>
        </is>
      </c>
    </row>
    <row r="67" hidden="1" ht="30" customHeight="1" s="62">
      <c r="A67" s="7" t="inlineStr">
        <is>
          <t>66</t>
        </is>
      </c>
      <c r="B67" s="7" t="inlineStr">
        <is>
          <t>Nur terminieren</t>
        </is>
      </c>
      <c r="C67" s="7" t="inlineStr">
        <is>
          <t>HR</t>
        </is>
      </c>
      <c r="D67" s="7" t="inlineStr">
        <is>
          <t>PM-07</t>
        </is>
      </c>
      <c r="E67" s="7" t="inlineStr">
        <is>
          <t>Kaderkennzeichen für 8,1-h-Arbeitstag klären</t>
        </is>
      </c>
      <c r="F67" s="7" t="inlineStr">
        <is>
          <t>Ingo / Sonja</t>
        </is>
      </c>
      <c r="G67" s="7" t="inlineStr">
        <is>
          <t>Mittel</t>
        </is>
      </c>
      <c r="H67" s="151" t="inlineStr">
        <is>
          <t>Erledigt</t>
        </is>
      </c>
      <c r="I67" s="7" t="inlineStr"/>
      <c r="J67" s="7" t="inlineStr">
        <is>
          <t>Kader = Rexx Leitung j/n = ja (Ingo 01.10.). c51445c: 8,1 h statt 8,0 h für Krankheitstage, Langzeitgrenze, FTE. Produktiv seit 01.10. 09:12.</t>
        </is>
      </c>
      <c r="K67" s="7" t="inlineStr">
        <is>
          <t>2026-10-01</t>
        </is>
      </c>
      <c r="L67" s="7" t="inlineStr">
        <is>
          <t>PM-07</t>
        </is>
      </c>
      <c r="M67" s="156" t="inlineStr">
        <is>
          <t>Vorhaben</t>
        </is>
      </c>
    </row>
    <row r="68" hidden="1" ht="60" customHeight="1" s="62">
      <c r="A68" s="7" t="inlineStr">
        <is>
          <t>67</t>
        </is>
      </c>
      <c r="B68" s="7" t="inlineStr">
        <is>
          <t>Nur terminieren</t>
        </is>
      </c>
      <c r="C68" s="7" t="inlineStr">
        <is>
          <t>HR</t>
        </is>
      </c>
      <c r="D68" s="7" t="inlineStr">
        <is>
          <t>PM-07</t>
        </is>
      </c>
      <c r="E68" s="7" t="inlineStr">
        <is>
          <t>Abwesenheiten je Fall aus SAP PA2001 (HrAbsenzSet) statt Rexx-Liste</t>
        </is>
      </c>
      <c r="F68" s="7" t="inlineStr">
        <is>
          <t>Ingo</t>
        </is>
      </c>
      <c r="G68" s="7" t="inlineStr">
        <is>
          <t>Mittel</t>
        </is>
      </c>
      <c r="H68" s="151" t="inlineStr">
        <is>
          <t>Erledigt</t>
        </is>
      </c>
      <c r="I68" s="7" t="inlineStr"/>
      <c r="J68" s="7" t="inlineStr">
        <is>
          <t>Produktiv seit 01.10. 10:50: HrAbsenzSet in P76 (T76K912644), erster Abruf 4'948 Fälle 2025/2026. Krankenquote je Fall auf den Zeitraum zugeschnitten (2025 ca. 3,1 %, 2026 ca. 2,8 %), Ferien/Kompensation/Militär im Zeitraum. Rest: HR bestätigt Krankheitsarten; Personenbasis wartet auf tägliche Rexx-Exporte (Zeile 55).</t>
        </is>
      </c>
      <c r="K68" s="7" t="inlineStr">
        <is>
          <t>2026-10-01</t>
        </is>
      </c>
      <c r="L68" s="7" t="inlineStr">
        <is>
          <t>PM-07</t>
        </is>
      </c>
      <c r="M68" s="156" t="inlineStr">
        <is>
          <t>Vorhaben</t>
        </is>
      </c>
    </row>
    <row r="69" hidden="1" s="62">
      <c r="A69" s="7" t="inlineStr">
        <is>
          <t>68</t>
        </is>
      </c>
      <c r="B69" s="7" t="inlineStr">
        <is>
          <t>Umsetzung</t>
        </is>
      </c>
      <c r="C69" s="7" t="inlineStr">
        <is>
          <t>HR</t>
        </is>
      </c>
      <c r="D69" s="7" t="inlineStr">
        <is>
          <t>PM-07</t>
        </is>
      </c>
      <c r="E69" s="7" t="inlineStr">
        <is>
          <t>Arbeitstag 8,0 h statt 8,4 h</t>
        </is>
      </c>
      <c r="F69" s="7" t="inlineStr">
        <is>
          <t>Ingo</t>
        </is>
      </c>
      <c r="G69" s="7" t="inlineStr">
        <is>
          <t>Mittel</t>
        </is>
      </c>
      <c r="H69" s="151" t="inlineStr">
        <is>
          <t>Erledigt</t>
        </is>
      </c>
      <c r="I69" s="7" t="inlineStr"/>
      <c r="J69" s="7" t="inlineStr">
        <is>
          <t>Produktiv 30.09.2026 09:36 (e3545c4). Mail an Sonja als .eml vorbereitet.</t>
        </is>
      </c>
      <c r="K69" s="7" t="inlineStr">
        <is>
          <t>30.09.2026</t>
        </is>
      </c>
      <c r="L69" s="7" t="inlineStr">
        <is>
          <t>PM-07</t>
        </is>
      </c>
      <c r="M69" s="156" t="inlineStr">
        <is>
          <t>Vorhaben</t>
        </is>
      </c>
    </row>
    <row r="70" hidden="1" ht="30" customHeight="1" s="62">
      <c r="A70" s="7" t="inlineStr">
        <is>
          <t>69</t>
        </is>
      </c>
      <c r="B70" s="7" t="inlineStr">
        <is>
          <t>Nur terminieren</t>
        </is>
      </c>
      <c r="C70" s="7" t="inlineStr">
        <is>
          <t>Einkauf</t>
        </is>
      </c>
      <c r="D70" s="7" t="inlineStr">
        <is>
          <t>PM-04</t>
        </is>
      </c>
      <c r="E70" s="7" t="inlineStr">
        <is>
          <t>Einkauf beim Auffrischen schneller (Rückmeldung Armin)</t>
        </is>
      </c>
      <c r="F70" s="7" t="inlineStr">
        <is>
          <t>Ingo</t>
        </is>
      </c>
      <c r="G70" s="7" t="inlineStr">
        <is>
          <t>Mittel</t>
        </is>
      </c>
      <c r="H70" s="151" t="inlineStr">
        <is>
          <t>Erledigt</t>
        </is>
      </c>
      <c r="I70" s="7" t="inlineStr"/>
      <c r="J70" s="7" t="inlineStr">
        <is>
          <t>Variante a produktiv seit 01.10. 11:21 (4e2b55a): nach dem Lauf alter Stand mit Hinweis, neue Zahlen kommen von selbst. Variante b (Abfragen bündeln) offen, erst messen.</t>
        </is>
      </c>
      <c r="K70" s="7" t="inlineStr">
        <is>
          <t>2026-10-01</t>
        </is>
      </c>
      <c r="L70" s="7" t="inlineStr">
        <is>
          <t>PM-04</t>
        </is>
      </c>
      <c r="M70" s="152" t="inlineStr">
        <is>
          <t>Projekt</t>
        </is>
      </c>
    </row>
    <row r="71" hidden="1" ht="45" customHeight="1" s="62">
      <c r="A71" s="7" t="inlineStr">
        <is>
          <t>70</t>
        </is>
      </c>
      <c r="B71" s="7" t="inlineStr">
        <is>
          <t>Umsetzung</t>
        </is>
      </c>
      <c r="C71" s="7" t="inlineStr">
        <is>
          <t>Einkauf</t>
        </is>
      </c>
      <c r="D71" s="7" t="inlineStr"/>
      <c r="E71" s="7" t="inlineStr">
        <is>
          <t>Konditionsart ZRL2 Mengenrabatt EkOrg 1200 nach P76</t>
        </is>
      </c>
      <c r="F71" s="7" t="inlineStr">
        <is>
          <t>Ingo / Fabio</t>
        </is>
      </c>
      <c r="G71" s="7" t="inlineStr">
        <is>
          <t>Mittel</t>
        </is>
      </c>
      <c r="H71" s="151" t="inlineStr">
        <is>
          <t>Erledigt</t>
        </is>
      </c>
      <c r="I71" s="7" t="inlineStr"/>
      <c r="J71" s="7" t="inlineStr">
        <is>
          <t>T76K912628 importiert 30.09. nach Freigabe Lucas; Stammdaten pflegt Fabio im Live (SAP_ZRL2_MENGENRABATT_AT_2026-09-30.md).</t>
        </is>
      </c>
      <c r="K71" s="7" t="inlineStr">
        <is>
          <t>30.09.2026</t>
        </is>
      </c>
      <c r="L71" s="7" t="n"/>
      <c r="M71" s="7" t="n"/>
    </row>
    <row r="72" hidden="1" ht="135" customHeight="1" s="62">
      <c r="A72" s="7" t="inlineStr">
        <is>
          <t>71</t>
        </is>
      </c>
      <c r="B72" s="7" t="inlineStr">
        <is>
          <t>Heute</t>
        </is>
      </c>
      <c r="C72" s="7" t="inlineStr">
        <is>
          <t>Logistik</t>
        </is>
      </c>
      <c r="D72" s="7" t="inlineStr">
        <is>
          <t>PM-04</t>
        </is>
      </c>
      <c r="E72" s="7" t="inlineStr">
        <is>
          <t>Logistik live: Kommissionierung und Produktion aus SAP</t>
        </is>
      </c>
      <c r="F72" s="7" t="inlineStr">
        <is>
          <t>Ingo</t>
        </is>
      </c>
      <c r="G72" s="7" t="inlineStr">
        <is>
          <t>Hoch</t>
        </is>
      </c>
      <c r="H72" s="153" t="inlineStr">
        <is>
          <t>Läuft</t>
        </is>
      </c>
      <c r="I72" s="7" t="inlineStr"/>
      <c r="J72" s="7" t="inlineStr">
        <is>
          <t>Produktiv seit 01.10. 15:01, von Ingo gesichtet (2026-10-01 15:13: „sieht super aus“). Offen nur: einzelne Werte gegen SAP abgleichen. 05.10.: Umschalter 3D-Lager, Produktivität (Durchlaufzeit, Leistung je Stunde), Kapazität je Bereich (Erfassung nach Nevas Kennzahlen), Namen nur nach Anmeldung (HR-Freigabe), Vorschau Warenausgang 14 Tage, Kapazität Produktion aus SAP; produktiv bis 13:34 (dd4c627). SAP: T76K912658 und T76K912660 in P76, T76K912662 mit Warnung, Kapazität Produktion seit 13:53 in P76 sichtbar. Offen: Passwort-Hash (Ingo), MES ist Eigenentwicklung (Ingo klärt später). | 06.10. 10:16: Prüfbefund-Fixes produktiv (Timeout, Tagesfilter, Ausblick mit heute/überfällig, Lgnum 110). Offen: ABAP-Transport (Warenausgangszeit, Kapazität nach KEINH verteilt), vorher SE11-Prüfung KBED.</t>
        </is>
      </c>
      <c r="K72" s="7" t="inlineStr"/>
      <c r="L72" s="7" t="inlineStr">
        <is>
          <t>PM-04</t>
        </is>
      </c>
      <c r="M72" s="152" t="inlineStr">
        <is>
          <t>Projekt</t>
        </is>
      </c>
    </row>
    <row r="73" hidden="1" ht="45" customHeight="1" s="62">
      <c r="A73" s="7" t="inlineStr">
        <is>
          <t>72</t>
        </is>
      </c>
      <c r="B73" s="7" t="inlineStr">
        <is>
          <t>Umsetzung</t>
        </is>
      </c>
      <c r="C73" s="7" t="inlineStr">
        <is>
          <t>Logistik</t>
        </is>
      </c>
      <c r="D73" s="7" t="inlineStr">
        <is>
          <t>PM-04</t>
        </is>
      </c>
      <c r="E73" s="7" t="inlineStr">
        <is>
          <t>Stücklistenanalyse: Verwendung &amp; Risiko über mehrere Stufen</t>
        </is>
      </c>
      <c r="F73" s="7" t="inlineStr">
        <is>
          <t>Ingo</t>
        </is>
      </c>
      <c r="G73" s="7" t="inlineStr">
        <is>
          <t>Mittel</t>
        </is>
      </c>
      <c r="H73" s="151" t="inlineStr">
        <is>
          <t>Erledigt</t>
        </is>
      </c>
      <c r="I73" s="7" t="inlineStr"/>
      <c r="J73" s="7" t="inlineStr">
        <is>
          <t>Produktiv seit 01.10. 16:05 (1a754e0), nur LZ-Code-Komponenten (4'487, bis 5 Stufen), vererbtes Lieferantenrisiko. Ausbau (Umsatz je Komponente, Gleichteile, kritischer Pfad) braucht vollständige Stückliste aus SAP (MAST/STKO/STPO).</t>
        </is>
      </c>
      <c r="K73" s="7" t="inlineStr">
        <is>
          <t>2026-10-01 16:06</t>
        </is>
      </c>
      <c r="L73" s="7" t="inlineStr">
        <is>
          <t>PM-04</t>
        </is>
      </c>
      <c r="M73" s="152" t="inlineStr">
        <is>
          <t>Projekt</t>
        </is>
      </c>
    </row>
    <row r="74" hidden="1" ht="135" customHeight="1" s="62">
      <c r="A74" s="7" t="inlineStr">
        <is>
          <t>73</t>
        </is>
      </c>
      <c r="B74" s="7" t="inlineStr">
        <is>
          <t>Umsetzung</t>
        </is>
      </c>
      <c r="C74" s="7" t="inlineStr">
        <is>
          <t>Plattform</t>
        </is>
      </c>
      <c r="D74" s="7" t="inlineStr">
        <is>
          <t>PM-09</t>
        </is>
      </c>
      <c r="E74" s="7" t="inlineStr">
        <is>
          <t>Reiter Netzwerk (Netzkarte, Verfügbarkeit, Netz oder Daten, Sicherheit, Arbeitsplätze)</t>
        </is>
      </c>
      <c r="F74" s="7" t="inlineStr">
        <is>
          <t>Ingo</t>
        </is>
      </c>
      <c r="G74" s="7" t="inlineStr">
        <is>
          <t>Mittel</t>
        </is>
      </c>
      <c r="H74" s="153" t="inlineStr">
        <is>
          <t>Läuft</t>
        </is>
      </c>
      <c r="I74" s="7" t="inlineStr"/>
      <c r="J74" s="7" t="inlineStr">
        <is>
          <t>Produktiv seit 02.10. 07:20 (1635b46), Prüfung alle 5 Min., erste Runde alle 7 Ziele ok. AD-Computer seit 02.10. 07:34 eingeschaltet (Erlaubnis IT). Unterreiter Active Directory mit 3D-OU-Stadt produktiv seit 02.10. 08:07, Korrekturen 08:43 (3e21220). Neue Unterreiter AD-Infrastruktur, Gruppenrichtlinien, DNS, Verlauf, Drucker, Excel-Export (50b6c4a): produktiv seit 02.10. 10:14. Migration, Bericht (PDF), Gerätelandkarte, Altlasten-Score produktiv seit 02.10. 12:00 (7d31df5). IT klären: Leserecht LAPS/BitLocker, DCs RB05SRV005/TRAVTRP4/5 nicht erreichbar. Offen: Sichtprüfung Ingo, Liste Terminal ↔ Arbeitsplatz von der IT. | 06.10. 10:16: Prüfbefund-Fixes produktiv (Windows 11 nach Build, Abbruch nur bei Wiederverbindung, 44 Tage aktiv, GPO-Vererbung).</t>
        </is>
      </c>
      <c r="K74" s="7" t="inlineStr"/>
      <c r="L74" s="7" t="inlineStr">
        <is>
          <t>PM-09</t>
        </is>
      </c>
      <c r="M74" s="156" t="inlineStr">
        <is>
          <t>Vorhaben</t>
        </is>
      </c>
    </row>
    <row r="75" hidden="1" ht="105" customHeight="1" s="62">
      <c r="A75" s="7" t="inlineStr">
        <is>
          <t>74</t>
        </is>
      </c>
      <c r="B75" s="7" t="inlineStr">
        <is>
          <t>Umsetzung</t>
        </is>
      </c>
      <c r="C75" s="7" t="inlineStr">
        <is>
          <t>Verkauf</t>
        </is>
      </c>
      <c r="D75" s="7" t="inlineStr">
        <is>
          <t>PM-09</t>
        </is>
      </c>
      <c r="E75" s="7" t="inlineStr">
        <is>
          <t>Reiter Verkauf (Kunden, Rückgang, neue/verlorene Kunden, Konzentration, Cross-Selling, Preisstreuung, Prognose, Weltkarte)</t>
        </is>
      </c>
      <c r="F75" s="7" t="inlineStr">
        <is>
          <t>Ingo</t>
        </is>
      </c>
      <c r="G75" s="7" t="inlineStr">
        <is>
          <t>Mittel</t>
        </is>
      </c>
      <c r="H75" s="153" t="inlineStr">
        <is>
          <t>Läuft</t>
        </is>
      </c>
      <c r="I75" s="7" t="inlineStr"/>
      <c r="J75" s="7" t="inlineStr">
        <is>
          <t>Produktiv seit 02.10. 13:24, ohne Passwort seit 13:51 (Ingo), Korrekturen bis 14:46. Gleiche Quelle und Regeln wie Finance, ohne Konzernkunden, CHF zum Belegdatum; Daten ab 01.2025, Vergleich gleicher Zeiträume (01–09.2026 gegen 01–09.2025: +22 %). 05.10.: Unterreiter Interaktiv mit neun animierten Ansichten, produktiv 14:25 (25da8a1); dasselbe für Einkauf (Menü Einkauf → Interaktiv), produktiv 15:11 (ba13744). Offen: Sichtprüfung Ingo, Abgleich 12-Monats-Summe je Land gegen Finance Ist ohne IC, SAP-Ideen 9–13 nur nach Entscheid. | 06.10. 10:16: Prüfbefund-Fixes produktiv (Referenzmonat nach Werktag, Interaktiv-Rechnungen).</t>
        </is>
      </c>
      <c r="K75" s="7" t="inlineStr"/>
      <c r="L75" s="7" t="inlineStr">
        <is>
          <t>PM-09</t>
        </is>
      </c>
      <c r="M75" s="156" t="inlineStr">
        <is>
          <t>Vorhaben</t>
        </is>
      </c>
    </row>
    <row r="76" hidden="1" ht="75" customHeight="1" s="62">
      <c r="A76" s="7" t="inlineStr">
        <is>
          <t>75</t>
        </is>
      </c>
      <c r="B76" s="7" t="inlineStr">
        <is>
          <t>Umsetzung</t>
        </is>
      </c>
      <c r="C76" s="7" t="inlineStr">
        <is>
          <t>Finance</t>
        </is>
      </c>
      <c r="D76" s="7" t="inlineStr">
        <is>
          <t>PM-09</t>
        </is>
      </c>
      <c r="E76" s="7" t="inlineStr">
        <is>
          <t>Unterreiter Controlling (Umsatzbrücke Vorjahr, Hochrechnung) – Eigeninitiative, kein Auftraggeber</t>
        </is>
      </c>
      <c r="F76" s="7" t="inlineStr">
        <is>
          <t>Ingo</t>
        </is>
      </c>
      <c r="G76" s="7" t="inlineStr">
        <is>
          <t>Niedrig</t>
        </is>
      </c>
      <c r="H76" s="153" t="inlineStr">
        <is>
          <t>Läuft</t>
        </is>
      </c>
      <c r="I76" s="7" t="inlineStr"/>
      <c r="J76" s="7" t="inlineStr">
        <is>
          <t>Produktiv seit 05.10. 08:18 (cb08f18): +16.0 Mio gegen Vorjahreszeitraum, Hochrechnung 2026 121.0 Mio (+22 %). Offene Fragen (Debitoren, Vorräte, Marge, Erfolgsrechnung, Kostenstellen/Budget) nur in docs/CONTROLLING_2026-10-05.md, keiner Person zugeteilt. | 06.10. 10:16: Brücke rundungsgenau, KPI auf Gesamtbrücke.</t>
        </is>
      </c>
      <c r="K76" s="7" t="inlineStr"/>
      <c r="L76" s="7" t="inlineStr">
        <is>
          <t>PM-09</t>
        </is>
      </c>
      <c r="M76" s="156" t="inlineStr">
        <is>
          <t>Vorhaben</t>
        </is>
      </c>
    </row>
    <row r="77" hidden="1" ht="90" customHeight="1" s="62">
      <c r="A77" s="7" t="inlineStr">
        <is>
          <t>76</t>
        </is>
      </c>
      <c r="B77" s="7" t="inlineStr">
        <is>
          <t>Umsetzung</t>
        </is>
      </c>
      <c r="C77" s="7" t="inlineStr">
        <is>
          <t>Plattform</t>
        </is>
      </c>
      <c r="D77" s="7" t="inlineStr">
        <is>
          <t>PM-09</t>
        </is>
      </c>
      <c r="E77" s="7" t="inlineStr">
        <is>
          <t>Reiter Weltlage (Radar je Abteilung, Länder, Rohstoffe und Währungen, Ereignisse) – erster Wurf</t>
        </is>
      </c>
      <c r="F77" s="7" t="inlineStr">
        <is>
          <t>Ingo</t>
        </is>
      </c>
      <c r="G77" s="7" t="inlineStr">
        <is>
          <t>Niedrig</t>
        </is>
      </c>
      <c r="H77" s="153" t="inlineStr">
        <is>
          <t>Läuft</t>
        </is>
      </c>
      <c r="I77" s="7" t="inlineStr"/>
      <c r="J77" s="7" t="inlineStr">
        <is>
          <t>Produktiv seit 05.10. 09:21 (e54190a). Vom Server: GDELT und Eurostat verbunden, FRED und IMF Firewall blockiert. Externe Quellen ohne Anmeldung, verknüpft mit Verkauf, Einkauf, Kursen; seit 06.10. unter Finance Cockpit mit Passwort. Offen: Firewall-Freigabe fred.stlouisfed.org und www.imf.org beantragen, Rechenregeln mit Ingo schärfen. | 06.10. 10:16: Logistik nicht mehr 0 (Elikz), offen nach offener Menge, ohne Konzernlieferanten. | 06.10.: unter Finance Cockpit verschoben, Finance-Passwort (Rückfragen gingen an Andreas).</t>
        </is>
      </c>
      <c r="K77" s="7" t="inlineStr"/>
      <c r="L77" s="7" t="inlineStr">
        <is>
          <t>PM-09</t>
        </is>
      </c>
      <c r="M77" s="156" t="inlineStr">
        <is>
          <t>Vorhaben</t>
        </is>
      </c>
    </row>
    <row r="78" hidden="1" ht="45" customHeight="1" s="62">
      <c r="A78" s="7" t="inlineStr">
        <is>
          <t>77</t>
        </is>
      </c>
      <c r="B78" s="7" t="inlineStr">
        <is>
          <t>Umsetzung</t>
        </is>
      </c>
      <c r="C78" s="7" t="inlineStr">
        <is>
          <t>Plattform</t>
        </is>
      </c>
      <c r="D78" s="7" t="inlineStr">
        <is>
          <t>PM-09</t>
        </is>
      </c>
      <c r="E78" s="7" t="inlineStr">
        <is>
          <t>Benutzerhandbuch aller Module (betriebswirtschaftlich), Reiter und Word im Trafag-CI</t>
        </is>
      </c>
      <c r="F78" s="7" t="inlineStr">
        <is>
          <t>Ingo</t>
        </is>
      </c>
      <c r="G78" s="7" t="inlineStr">
        <is>
          <t>Mittel</t>
        </is>
      </c>
      <c r="H78" s="151" t="inlineStr">
        <is>
          <t>Erledigt</t>
        </is>
      </c>
      <c r="I78" s="7" t="inlineStr"/>
      <c r="J78" s="7" t="inlineStr">
        <is>
          <t>Produktiv 06.10. 10:16 (fbe30b9), Icons 10:46 (d7270a5). Kapitel je Fachbereich gegenlesen lassen; bei neuen Seiten Kapitel nachführen (docs/handbuch/README.md).</t>
        </is>
      </c>
      <c r="K78" s="7" t="inlineStr">
        <is>
          <t>2026-10-06 10:46</t>
        </is>
      </c>
      <c r="L78" s="7" t="inlineStr">
        <is>
          <t>PM-09</t>
        </is>
      </c>
      <c r="M78" s="156" t="inlineStr">
        <is>
          <t>Vorhaben</t>
        </is>
      </c>
    </row>
    <row r="79" ht="60" customHeight="1" s="62">
      <c r="A79" s="7" t="inlineStr">
        <is>
          <t>78</t>
        </is>
      </c>
      <c r="B79" s="7" t="inlineStr">
        <is>
          <t>Umsetzung</t>
        </is>
      </c>
      <c r="C79" s="7" t="inlineStr">
        <is>
          <t>Einkauf</t>
        </is>
      </c>
      <c r="D79" s="7" t="inlineStr">
        <is>
          <t>PM-04</t>
        </is>
      </c>
      <c r="E79" s="7" t="inlineStr">
        <is>
          <t>Einkauf über gesunkenen offenen Bestellwert informieren (Elikz-Fix: 12.8 statt 28.7 Mio CHF)</t>
        </is>
      </c>
      <c r="F79" s="7" t="inlineStr">
        <is>
          <t>Ingo</t>
        </is>
      </c>
      <c r="G79" s="7" t="inlineStr">
        <is>
          <t>Hoch</t>
        </is>
      </c>
      <c r="H79" s="155" t="inlineStr">
        <is>
          <t>Offen</t>
        </is>
      </c>
      <c r="I79" s="7" t="inlineStr"/>
      <c r="J79" s="7" t="inlineStr">
        <is>
          <t>Einkauf informieren, dass endgelieferte Positionen seit 06.10. nicht mehr als offen zählen (ISS-031).</t>
        </is>
      </c>
      <c r="K79" s="7" t="inlineStr"/>
      <c r="L79" s="7" t="inlineStr">
        <is>
          <t>PM-09</t>
        </is>
      </c>
      <c r="M79" s="156" t="inlineStr">
        <is>
          <t>Vorhaben</t>
        </is>
      </c>
    </row>
    <row r="80" hidden="1" ht="45" customHeight="1" s="62">
      <c r="A80" s="7" t="inlineStr">
        <is>
          <t>79</t>
        </is>
      </c>
      <c r="B80" s="7" t="inlineStr">
        <is>
          <t>Umsetzung</t>
        </is>
      </c>
      <c r="C80" s="7" t="inlineStr">
        <is>
          <t>Finance</t>
        </is>
      </c>
      <c r="D80" s="7" t="inlineStr">
        <is>
          <t>PM-09</t>
        </is>
      </c>
      <c r="E80" s="7" t="inlineStr">
        <is>
          <t>Standardkosten, Kostenbasis und Marge in CHF im Blatt Finance Details (Sales_All)</t>
        </is>
      </c>
      <c r="F80" s="7" t="inlineStr">
        <is>
          <t>Ingo</t>
        </is>
      </c>
      <c r="G80" s="7" t="inlineStr">
        <is>
          <t>Hoch</t>
        </is>
      </c>
      <c r="H80" s="153" t="inlineStr">
        <is>
          <t>Läuft</t>
        </is>
      </c>
      <c r="I80" s="7" t="inlineStr"/>
      <c r="J80" s="7" t="inlineStr">
        <is>
          <t>Produktiv 06.10. 15:45 (3c0db1b), wirkt ab nächstem Sales_All. Andreas Bescheid geben (Spalten AH-AP, Cost Timing: Konzernkosten nicht historisiert).</t>
        </is>
      </c>
      <c r="K80" s="7" t="inlineStr"/>
      <c r="L80" s="7" t="inlineStr">
        <is>
          <t>PM-09</t>
        </is>
      </c>
      <c r="M80" s="156" t="inlineStr">
        <is>
          <t>Vorhaben</t>
        </is>
      </c>
    </row>
    <row r="81" hidden="1" ht="75" customHeight="1" s="62">
      <c r="A81" s="7" t="inlineStr">
        <is>
          <t>80</t>
        </is>
      </c>
      <c r="B81" s="7" t="inlineStr">
        <is>
          <t>Umsetzung</t>
        </is>
      </c>
      <c r="C81" s="7" t="inlineStr">
        <is>
          <t>Finance</t>
        </is>
      </c>
      <c r="D81" s="7" t="inlineStr">
        <is>
          <t>PM-09</t>
        </is>
      </c>
      <c r="E81" s="7" t="inlineStr">
        <is>
          <t>Prüfung Andreas: Umsatz gegen Konsolidierungstool, Standardkosten gegen Standortmargen, Abweichungen mit Rino und Kendra</t>
        </is>
      </c>
      <c r="F81" s="7" t="inlineStr">
        <is>
          <t>Andreas</t>
        </is>
      </c>
      <c r="G81" s="7" t="inlineStr">
        <is>
          <t>Mittel</t>
        </is>
      </c>
      <c r="H81" s="155" t="inlineStr">
        <is>
          <t>Offen</t>
        </is>
      </c>
      <c r="I81" s="7" t="inlineStr"/>
      <c r="J81" s="7" t="inlineStr">
        <is>
          <t>Nach Deploy der CHF-Spalten; Thermostat-Fall Indien→Italien→Deutschland (eine Stufe) mit Beispielen prüfen.</t>
        </is>
      </c>
      <c r="K81" s="7" t="inlineStr"/>
      <c r="L81" s="7" t="inlineStr">
        <is>
          <t>PM-09</t>
        </is>
      </c>
      <c r="M81" s="156" t="inlineStr">
        <is>
          <t>Vorhaben</t>
        </is>
      </c>
    </row>
    <row r="82" hidden="1" ht="45" customHeight="1" s="62">
      <c r="A82" s="7" t="inlineStr">
        <is>
          <t>81</t>
        </is>
      </c>
      <c r="B82" s="7" t="inlineStr">
        <is>
          <t>Umsetzung</t>
        </is>
      </c>
      <c r="C82" s="7" t="inlineStr">
        <is>
          <t>Finance</t>
        </is>
      </c>
      <c r="D82" s="7" t="inlineStr">
        <is>
          <t>PM-09</t>
        </is>
      </c>
      <c r="E82" s="7" t="inlineStr">
        <is>
          <t>Vier-Augen-Prüfung der Summen durch Rino (unabhängig)</t>
        </is>
      </c>
      <c r="F82" s="7" t="inlineStr">
        <is>
          <t>Rino</t>
        </is>
      </c>
      <c r="G82" s="7" t="inlineStr">
        <is>
          <t>Mittel</t>
        </is>
      </c>
      <c r="H82" s="155" t="inlineStr">
        <is>
          <t>Offen</t>
        </is>
      </c>
      <c r="I82" s="7" t="inlineStr"/>
      <c r="J82" s="7" t="inlineStr">
        <is>
          <t>Andreas regelt das mit Rino (Gespräch 06.10.).</t>
        </is>
      </c>
      <c r="K82" s="7" t="inlineStr"/>
      <c r="L82" s="7" t="inlineStr">
        <is>
          <t>PM-09</t>
        </is>
      </c>
      <c r="M82" s="156" t="inlineStr">
        <is>
          <t>Vorhaben</t>
        </is>
      </c>
    </row>
    <row r="83" ht="60" customHeight="1" s="62">
      <c r="A83" s="7" t="inlineStr">
        <is>
          <t>82</t>
        </is>
      </c>
      <c r="B83" s="7" t="inlineStr">
        <is>
          <t>Umsetzung</t>
        </is>
      </c>
      <c r="C83" s="7" t="inlineStr">
        <is>
          <t>Plattform</t>
        </is>
      </c>
      <c r="D83" s="7" t="inlineStr">
        <is>
          <t>PM-09</t>
        </is>
      </c>
      <c r="E83" s="7" t="inlineStr">
        <is>
          <t>Statement Weltlage-Radar an Andreas (Eigeninitiative, Ziel, Stand), er leitet ans Management weiter</t>
        </is>
      </c>
      <c r="F83" s="7" t="inlineStr">
        <is>
          <t>Ingo</t>
        </is>
      </c>
      <c r="G83" s="7" t="inlineStr">
        <is>
          <t>Hoch</t>
        </is>
      </c>
      <c r="H83" s="155" t="inlineStr">
        <is>
          <t>Offen</t>
        </is>
      </c>
      <c r="I83" s="7" t="inlineStr"/>
      <c r="J83" s="7" t="inlineStr">
        <is>
          <t>Entwurf liegt im Chat vom 06.10.; Ingo sendet selbst. | 13.10.: Im Teams-Chat am 06.10. 11:18 nur kurz bestätigt (Eigeninitiative, kein Auftraggeber); ein ausgearbeitetes Statement an Andreas ist nicht gefunden.</t>
        </is>
      </c>
      <c r="K83" s="7" t="inlineStr"/>
      <c r="L83" s="7" t="inlineStr">
        <is>
          <t>PM-09</t>
        </is>
      </c>
      <c r="M83" s="156" t="inlineStr">
        <is>
          <t>Vorhaben</t>
        </is>
      </c>
    </row>
    <row r="84" hidden="1" ht="90" customHeight="1" s="62">
      <c r="A84" s="7" t="inlineStr">
        <is>
          <t>83</t>
        </is>
      </c>
      <c r="B84" s="7" t="inlineStr">
        <is>
          <t>Umsetzung</t>
        </is>
      </c>
      <c r="C84" s="7" t="inlineStr">
        <is>
          <t>Finance</t>
        </is>
      </c>
      <c r="D84" s="7" t="inlineStr">
        <is>
          <t>PM-09</t>
        </is>
      </c>
      <c r="E84" s="7" t="inlineStr">
        <is>
          <t>Brücke italienische Artikelnummer → Trafag-Sachnummer prüfen (TR IT verkauft Indien-Ware mit eigenem Einkaufspreis, ISS-007.4)</t>
        </is>
      </c>
      <c r="F84" s="7" t="inlineStr">
        <is>
          <t>Ingo</t>
        </is>
      </c>
      <c r="G84" s="7" t="inlineStr">
        <is>
          <t>Mittel</t>
        </is>
      </c>
      <c r="H84" s="155" t="inlineStr">
        <is>
          <t>Offen</t>
        </is>
      </c>
      <c r="I84" s="7" t="inlineStr"/>
      <c r="J84" s="7" t="inlineStr">
        <is>
          <t>B1 TR IT Artikelstamm nur lesend auf UDF mit Trafag-Nummer prüfen (analog U_TASC_OMN); 414 von 420 Zeilen betroffen.</t>
        </is>
      </c>
      <c r="K84" s="7" t="inlineStr"/>
      <c r="L84" s="7" t="inlineStr">
        <is>
          <t>PM-09</t>
        </is>
      </c>
      <c r="M84" s="156" t="inlineStr">
        <is>
          <t>Vorhaben</t>
        </is>
      </c>
    </row>
    <row r="85" hidden="1" ht="60" customHeight="1" s="62">
      <c r="A85" s="7" t="inlineStr">
        <is>
          <t>84</t>
        </is>
      </c>
      <c r="B85" s="7" t="inlineStr">
        <is>
          <t>Umsetzung</t>
        </is>
      </c>
      <c r="C85" s="7" t="inlineStr">
        <is>
          <t>Finance</t>
        </is>
      </c>
      <c r="D85" s="7" t="inlineStr">
        <is>
          <t>PM-09</t>
        </is>
      </c>
      <c r="E85" s="7" t="inlineStr">
        <is>
          <t>Andreas vor Thermostat-Test informieren: 1. Stufe greift für TR IT (Indien-Ware) und TR DE (Lieferant leer) noch nicht</t>
        </is>
      </c>
      <c r="F85" s="7" t="inlineStr">
        <is>
          <t>Ingo</t>
        </is>
      </c>
      <c r="G85" s="7" t="inlineStr">
        <is>
          <t>Hoch</t>
        </is>
      </c>
      <c r="H85" s="155" t="inlineStr">
        <is>
          <t>Offen</t>
        </is>
      </c>
      <c r="I85" s="7" t="inlineStr"/>
      <c r="J85" s="7" t="inlineStr">
        <is>
          <t>ASCII-Übersicht aus FINANCE_FORMELN.md (Abschnitt Eine Stufe) mitschicken.</t>
        </is>
      </c>
      <c r="K85" s="7" t="inlineStr"/>
      <c r="L85" s="7" t="inlineStr">
        <is>
          <t>PM-09</t>
        </is>
      </c>
      <c r="M85" s="156" t="inlineStr">
        <is>
          <t>Vorhaben</t>
        </is>
      </c>
    </row>
    <row r="86" hidden="1" ht="60" customHeight="1" s="62">
      <c r="A86" s="7" t="inlineStr">
        <is>
          <t>85</t>
        </is>
      </c>
      <c r="B86" s="7" t="inlineStr">
        <is>
          <t>Umsetzung</t>
        </is>
      </c>
      <c r="C86" s="7" t="inlineStr">
        <is>
          <t>Finance</t>
        </is>
      </c>
      <c r="D86" s="7" t="inlineStr">
        <is>
          <t>PM-09</t>
        </is>
      </c>
      <c r="E86" s="7" t="inlineStr">
        <is>
          <t>Frage an Andreas: Kostenwährung (z. B. INR auf EUR) auch zum Budgetkurs statt Tageskurs (Beschluss 27.08.)?</t>
        </is>
      </c>
      <c r="F86" s="7" t="inlineStr">
        <is>
          <t>Andreas</t>
        </is>
      </c>
      <c r="G86" s="7" t="inlineStr">
        <is>
          <t>Mittel</t>
        </is>
      </c>
      <c r="H86" s="155" t="inlineStr">
        <is>
          <t>Offen</t>
        </is>
      </c>
      <c r="I86" s="7" t="inlineStr"/>
      <c r="J86" s="7" t="inlineStr">
        <is>
          <t>Seit 07.10. rechnet CHF mit Budgetkurs; nur die Kostenwährungs-Umrechnung läuft noch zum Tageskurs.</t>
        </is>
      </c>
      <c r="K86" s="7" t="inlineStr"/>
      <c r="L86" s="7" t="inlineStr">
        <is>
          <t>PM-09</t>
        </is>
      </c>
      <c r="M86" s="156" t="inlineStr">
        <is>
          <t>Vorhaben</t>
        </is>
      </c>
    </row>
    <row r="87" hidden="1" ht="75" customHeight="1" s="62">
      <c r="A87" s="7" t="inlineStr">
        <is>
          <t>86</t>
        </is>
      </c>
      <c r="B87" s="7" t="inlineStr">
        <is>
          <t>Umsetzung</t>
        </is>
      </c>
      <c r="C87" s="7" t="inlineStr">
        <is>
          <t>Logistik</t>
        </is>
      </c>
      <c r="D87" s="7" t="inlineStr">
        <is>
          <t>PM-04</t>
        </is>
      </c>
      <c r="E87" s="7" t="inlineStr">
        <is>
          <t>ZM_OFFENE_FAUF: Bedarfsverursacher (Dispoelement, Nummer, Daten zum Dispoelement, Werk), standardmässig sichtbar</t>
        </is>
      </c>
      <c r="F87" s="7" t="inlineStr">
        <is>
          <t>Ingo</t>
        </is>
      </c>
      <c r="G87" s="7" t="inlineStr">
        <is>
          <t>Mittel</t>
        </is>
      </c>
      <c r="H87" s="153" t="inlineStr">
        <is>
          <t>Läuft</t>
        </is>
      </c>
      <c r="I87" s="7" t="inlineStr"/>
      <c r="J87" s="7" t="inlineStr">
        <is>
          <t>T76 fertig 08.10.: Spalten sichtbar, Feld Werk (MDRQ-WERKS) neu, Standardlayout / P00 TX in T76 ergänzt; alles in T76K912714, am 09.10. von Ingo nach P76 transportiert. Nächster Schritt: Layout in P76 prüfen (Fabio). Offen: Fall BANF in 1200 prüfen (zeigt Werk 1200 oder den Umlagerungsbedarf in 1100?).</t>
        </is>
      </c>
      <c r="K87" s="7" t="inlineStr"/>
      <c r="L87" s="7" t="inlineStr">
        <is>
          <t>PM-04</t>
        </is>
      </c>
      <c r="M87" s="152" t="inlineStr">
        <is>
          <t>Projekt</t>
        </is>
      </c>
    </row>
    <row r="88" hidden="1" ht="210" customHeight="1" s="62">
      <c r="A88" s="7" t="inlineStr">
        <is>
          <t>87</t>
        </is>
      </c>
      <c r="B88" s="7" t="inlineStr">
        <is>
          <t>Umsetzung</t>
        </is>
      </c>
      <c r="C88" s="7" t="inlineStr">
        <is>
          <t>Plattform</t>
        </is>
      </c>
      <c r="D88" s="7" t="inlineStr">
        <is>
          <t>PM-09</t>
        </is>
      </c>
      <c r="E88" s="7" t="inlineStr">
        <is>
          <t>Reiter Operations (Shopfloor): PPA-Shopfloor im Cockpit, ZD05 und Forecast aus SAP</t>
        </is>
      </c>
      <c r="F88" s="7" t="inlineStr">
        <is>
          <t>Ingo</t>
        </is>
      </c>
      <c r="G88" s="7" t="inlineStr">
        <is>
          <t>Hoch</t>
        </is>
      </c>
      <c r="H88" s="153" t="inlineStr">
        <is>
          <t>Läuft</t>
        </is>
      </c>
      <c r="I88" s="7" t="inlineStr"/>
      <c r="J88" s="7" t="inlineStr">
        <is>
          <t>19.10.: Mengen aus SAP auf dem Produktionstag, DW prod (Zeile 110); Operations seit 16.10. ohne Login fuer alle | Produktiv 08.10.; T76K912718 am 09.10. von Ingo nach P76 importiert, Caches geleert, SAP-Abgleich seit 09.10. 11:32 eingeschaltet (werktags 05:45 und 12:45). Erster Lauf 11:33: ZD05 58 Positionen, 6'449 Aufträge, 3'858 im Forecast bis 06.11. 14.10.: Feld-Mapping-Excel übernommen (b613f7c, produktiv 10:04, danach nur noch 294 statt 1'912 Aufträge ohne Abteilung): Abteilung über Disponent (SEH S*, TR5 EK*, TX EL*, DW D*, CZ 017–028), nur FPY aus MES, Mapping je Feld auf der Seite Schnittstelle. Offen: 134 Felder Status offen (Spalten J–N Ingo), Disponenten auf „prüfen“ (012, 013, PKA, TL1, TPT u. a.), Übergabe 04:00 als Abruf oder Push entscheiden; Freigabe durch Leitung Produktion/Operations (vorher keine Ankündigung). | 15.10.: Fabios Patches ZD05 „Zu besprechen“ und Verkauf Go-for-it produktiv 08:50 (52b3b75). Offen: Fabio informieren, dass seine Push-Beispiele so abgelehnt würden (Hülle items, Schlüssel fields statt values, Adresse /BiDashboard/shopfloor/api/integration/push); neue Feldliste vom 14.10. (docs/shopfloor_paket_2026-10-14) noch nicht in die Konfiguration übernommen; Freigabe Leitung Produktion für die Ablösung der Excel.</t>
        </is>
      </c>
      <c r="K88" s="7" t="inlineStr"/>
      <c r="L88" s="7" t="inlineStr">
        <is>
          <t>PM-09</t>
        </is>
      </c>
      <c r="M88" s="156" t="inlineStr">
        <is>
          <t>Vorhaben</t>
        </is>
      </c>
    </row>
    <row r="89" hidden="1" ht="75" customHeight="1" s="62">
      <c r="A89" s="7" t="inlineStr">
        <is>
          <t>88</t>
        </is>
      </c>
      <c r="B89" s="7" t="inlineStr">
        <is>
          <t>Umsetzung</t>
        </is>
      </c>
      <c r="C89" s="7" t="inlineStr">
        <is>
          <t>Einkauf</t>
        </is>
      </c>
      <c r="D89" s="7" t="inlineStr">
        <is>
          <t>PM-04</t>
        </is>
      </c>
      <c r="E89" s="7" t="inlineStr">
        <is>
          <t>Armin: offener Mengenkontraktwert (ME3L) auf Kontrakte und Dashboard; LZ-/Sortiments-Code im Spend-Aufriss</t>
        </is>
      </c>
      <c r="F89" s="7" t="inlineStr">
        <is>
          <t>Ingo</t>
        </is>
      </c>
      <c r="G89" s="7" t="inlineStr">
        <is>
          <t>Hoch</t>
        </is>
      </c>
      <c r="H89" s="153" t="inlineStr">
        <is>
          <t>Läuft</t>
        </is>
      </c>
      <c r="I89" s="7" t="inlineStr"/>
      <c r="J89" s="7" t="inlineStr">
        <is>
          <t>T76K912724 und T76K912718 am 09.10. in P76, Caches geleert, Delta 09.10. 12:27 erfolgreich: 1'262 Kontraktpositionen, 35'042 LZ-Codes, offener Kontraktwert CHF 18,67 Mio. inkl. abgelaufener Kontrakte. Offen mit Armin: Abweichung zu ME3L (16–17 Mio.), nur Bsart MK?</t>
        </is>
      </c>
      <c r="K89" s="7" t="inlineStr"/>
      <c r="L89" s="7" t="inlineStr">
        <is>
          <t>PM-04</t>
        </is>
      </c>
      <c r="M89" s="7" t="inlineStr"/>
    </row>
    <row r="90" hidden="1" ht="90" customHeight="1" s="62">
      <c r="A90" s="7" t="inlineStr">
        <is>
          <t>89</t>
        </is>
      </c>
      <c r="B90" s="7" t="inlineStr">
        <is>
          <t>Umsetzung</t>
        </is>
      </c>
      <c r="C90" s="7" t="inlineStr">
        <is>
          <t>Einkauf</t>
        </is>
      </c>
      <c r="D90" s="7" t="inlineStr">
        <is>
          <t>PM-04</t>
        </is>
      </c>
      <c r="E90" s="7" t="inlineStr">
        <is>
          <t>Armin: Produktgruppe aus ZC23 im Spend-Aufriss (Disponent → Produktgruppe, Vererbung über ZLO03 auf Einkaufsteile)</t>
        </is>
      </c>
      <c r="F90" s="7" t="inlineStr">
        <is>
          <t>Ingo</t>
        </is>
      </c>
      <c r="G90" s="7" t="inlineStr">
        <is>
          <t>Mittel</t>
        </is>
      </c>
      <c r="H90" s="153" t="inlineStr">
        <is>
          <t>Läuft</t>
        </is>
      </c>
      <c r="I90" s="7" t="inlineStr"/>
      <c r="J90" s="7" t="inlineStr">
        <is>
          <t>Cockpit produktiv 08.10. 15:03: Einkauf-Lauf fragt je bestellter Komponente ZLO03 Bottom-Up (ZSTR_LZCODE_USAGESet) ab, Disponent der verkürzten Nummer → ZC23, 1/n bei Mehrfachnennung; ohne SAP-Änderung. Ursache „fehlt“: Verwendungs-Cache hatte nur 86 Zeilen. Obergrenze laut VC_TXT rund 72–77 % des Spends. Offen: Deploy, nach 1–2 Läufen Anteil messen und mit Armin prüfen; Umlaut-Fehler ZDISPO_SPART-Texte (P76) und doppelte Regeln DS1/DS2/016 klären.</t>
        </is>
      </c>
      <c r="K90" s="7" t="inlineStr"/>
      <c r="L90" s="7" t="inlineStr">
        <is>
          <t>PM-04</t>
        </is>
      </c>
      <c r="M90" s="7" t="inlineStr"/>
    </row>
    <row r="91" hidden="1" ht="45" customHeight="1" s="62">
      <c r="A91" s="7" t="inlineStr">
        <is>
          <t>90</t>
        </is>
      </c>
      <c r="B91" s="7" t="inlineStr">
        <is>
          <t>Umsetzung</t>
        </is>
      </c>
      <c r="C91" s="7" t="inlineStr">
        <is>
          <t>Einkauf</t>
        </is>
      </c>
      <c r="D91" s="7" t="inlineStr">
        <is>
          <t>PM-04</t>
        </is>
      </c>
      <c r="E91" s="7" t="inlineStr">
        <is>
          <t>Armin: Performance Report ZC23</t>
        </is>
      </c>
      <c r="F91" s="7" t="inlineStr">
        <is>
          <t>Ingo</t>
        </is>
      </c>
      <c r="G91" s="7" t="inlineStr">
        <is>
          <t>Mittel</t>
        </is>
      </c>
      <c r="H91" s="151" t="inlineStr">
        <is>
          <t>Erledigt</t>
        </is>
      </c>
      <c r="I91" s="7" t="inlineStr"/>
      <c r="J91" s="7" t="inlineStr">
        <is>
          <t>Quelltext lesen, Laufzeit messen (T76), Engpass benennen. | 13.10.: Erledigt mit Zeile 93 (ZC23 ruft ZM_OFFENE_KDAUF): Quelltext gelesen, Laufzeit in T76 gemessen, Engpass behoben (Q2 2026 173 s auf 4.5 s); offen bleiben nur Transport und Berechtigung in Zeile 93.</t>
        </is>
      </c>
      <c r="K91" s="7" t="inlineStr">
        <is>
          <t>2026-10-12 11:55</t>
        </is>
      </c>
      <c r="L91" s="7" t="inlineStr">
        <is>
          <t>PM-04</t>
        </is>
      </c>
      <c r="M91" s="7" t="inlineStr"/>
    </row>
    <row r="92" hidden="1" ht="60" customHeight="1" s="62">
      <c r="A92" s="7" t="inlineStr">
        <is>
          <t>91</t>
        </is>
      </c>
      <c r="B92" s="7" t="inlineStr">
        <is>
          <t>Umsetzung</t>
        </is>
      </c>
      <c r="C92" s="7" t="inlineStr">
        <is>
          <t>Plattform</t>
        </is>
      </c>
      <c r="D92" s="7" t="inlineStr"/>
      <c r="E92" s="7" t="inlineStr">
        <is>
          <t>Neuer Reiter Trafag Reddit: Forum mit Abstimmung (Reddit + StackOverflow) für alles ohne Platz in SharePoint</t>
        </is>
      </c>
      <c r="F92" s="7" t="inlineStr">
        <is>
          <t>Ingo</t>
        </is>
      </c>
      <c r="G92" s="7" t="inlineStr">
        <is>
          <t>Mittel</t>
        </is>
      </c>
      <c r="H92" s="153" t="inlineStr">
        <is>
          <t>Läuft</t>
        </is>
      </c>
      <c r="I92" s="7" t="inlineStr"/>
      <c r="J92" s="7" t="inlineStr">
        <is>
          <t>Produktiv 09.10. 09:20 (33bd2b5), Sichtprüfung produktiv bestanden, für alle sichtbar, Autor = Windows-Name. Offen: ersten echten Beitrag schreiben (Ingo), Ankündigung nur auf Ingos Entscheid.</t>
        </is>
      </c>
      <c r="K92" s="7" t="inlineStr"/>
      <c r="L92" s="7" t="inlineStr"/>
      <c r="M92" s="7" t="inlineStr"/>
    </row>
    <row r="93" hidden="1" ht="105" customHeight="1" s="62">
      <c r="A93" s="7" t="inlineStr">
        <is>
          <t>92</t>
        </is>
      </c>
      <c r="B93" s="7" t="inlineStr">
        <is>
          <t>Umsetzung</t>
        </is>
      </c>
      <c r="C93" s="7" t="inlineStr">
        <is>
          <t>Plattform</t>
        </is>
      </c>
      <c r="D93" s="7" t="inlineStr"/>
      <c r="E93" s="7" t="inlineStr">
        <is>
          <t>Trafag Projekte: Poor Man's Project Management durch Projektmanagement wie Jira/Trello/Planner ersetzen</t>
        </is>
      </c>
      <c r="F93" s="7" t="inlineStr">
        <is>
          <t>Ingo</t>
        </is>
      </c>
      <c r="G93" s="7" t="inlineStr">
        <is>
          <t>Mittel</t>
        </is>
      </c>
      <c r="H93" s="153" t="inlineStr">
        <is>
          <t>Läuft</t>
        </is>
      </c>
      <c r="I93" s="7" t="inlineStr"/>
      <c r="J93" s="7" t="inlineStr">
        <is>
          <t>Produktiv 09.10. 10:18, Sichtprüfung mit Testprojekt bestanden (danach archiviert). CSS-Korrektur produktiv 11:07. Offen: erstes echtes Projekt anlegen. Abgleich mit Philip Steiger bleibt sinnvoll. | 13.10.: HERMES-Angaben je Projekt, Reiter Portfolio (HERMES) und Demoprojekt HDEMO produktiv seit 09:34 (7e20f93, Fix 47990ad 09:47); Vorhaben der Wochen-Todo bewusst nicht übernommen. 13.10.: private Projekte (nur Team, auch keine Admins), Rolle Leser und Wochen_Todo-Abgleich per TSV-Upload produktiv 14:43 (6cc0035). Offen: Ingo legt privates Projekt an und laedt die TSV hoch.</t>
        </is>
      </c>
      <c r="K93" s="7" t="inlineStr"/>
      <c r="L93" s="7" t="inlineStr"/>
      <c r="M93" s="7" t="inlineStr"/>
    </row>
    <row r="94" hidden="1" ht="60" customHeight="1" s="62">
      <c r="A94" s="7" t="inlineStr">
        <is>
          <t>93</t>
        </is>
      </c>
      <c r="B94" s="7" t="inlineStr">
        <is>
          <t>Umsetzung</t>
        </is>
      </c>
      <c r="C94" s="7" t="inlineStr">
        <is>
          <t>SAP</t>
        </is>
      </c>
      <c r="D94" s="7" t="inlineStr"/>
      <c r="E94" s="7" t="inlineStr">
        <is>
          <t>ZM_OFFENE_KDAUF (offene Kundenaufträge) beschleunigen: schnelle Kopie, Vergleich gegen das Original</t>
        </is>
      </c>
      <c r="F94" s="7" t="inlineStr">
        <is>
          <t>Ingo</t>
        </is>
      </c>
      <c r="G94" s="7" t="inlineStr">
        <is>
          <t>Mittel</t>
        </is>
      </c>
      <c r="H94" s="153" t="inlineStr">
        <is>
          <t>Läuft</t>
        </is>
      </c>
      <c r="I94" s="7" t="inlineStr"/>
      <c r="J94" s="7" t="inlineStr">
        <is>
          <t>12.10.: In T76 eingesetzt: ZM_OFFENE_KDAUF (ZC23) hat den neuen Quelltext, identisch zum Original, Q2 2026 4.5 s statt 173 s, BI UPDATE 24 s statt 20 min, läuft als Job. Transport T76K912728 (FG ZKDAUF_PAR + Report) bereit. Offen: Freigabe und Import P76 (Ingo), S_RFC für ZKDAUF_PAR in den ZC23-Rollen, Job BI UPDATE in P76 prüfen. saptasks/zm_offene_kdauf/NOTES.md</t>
        </is>
      </c>
      <c r="K94" s="7" t="inlineStr"/>
      <c r="L94" s="7" t="inlineStr"/>
      <c r="M94" s="7" t="inlineStr"/>
    </row>
    <row r="95" ht="120" customHeight="1" s="62">
      <c r="A95" s="7" t="inlineStr">
        <is>
          <t>94</t>
        </is>
      </c>
      <c r="B95" s="7" t="inlineStr">
        <is>
          <t>Heute</t>
        </is>
      </c>
      <c r="C95" s="7" t="inlineStr">
        <is>
          <t>SAP ZLO03</t>
        </is>
      </c>
      <c r="D95" s="7" t="inlineStr">
        <is>
          <t>PM-01</t>
        </is>
      </c>
      <c r="E95" s="7" t="inlineStr">
        <is>
          <t>ZLO03 liefert je nach Tageszeit verschieden viele VKNR (Meldung Ann-Katrin, für „5 to X“)</t>
        </is>
      </c>
      <c r="F95" s="7" t="inlineStr">
        <is>
          <t>Ingo</t>
        </is>
      </c>
      <c r="G95" s="7" t="inlineStr">
        <is>
          <t>Hoch</t>
        </is>
      </c>
      <c r="H95" s="155" t="inlineStr">
        <is>
          <t>Offen</t>
        </is>
      </c>
      <c r="I95" s="7" t="inlineStr">
        <is>
          <t>2026-10-26</t>
        </is>
      </c>
      <c r="J95" s="7" t="inlineStr">
        <is>
          <t>19.10.: nicht weiter untersucht. Der Kandidat Satzreihenfolge wird mit FIX 12 (T76K912742) behoben; nach dem Import Ann-Katrin fragen, ob der Effekt noch auftritt. Faelligkeit auf 26.10. verschoben | 16.10.: neuer Kandidat Satzreihenfolge/Textposition (Bottom-Up loescht VKNR mit leerem Text), passt zu B64404; P76 lesen KOMPNR=B64404, POSTYP. FIX 12 in T76 (T76K912742). | 13.10.: Batch-Jobs enden laut SM37 um etwa 06:32 und erklären die Unterschiede am Nachmittag nicht. Nur lesend prüfen: ZM_LZCODES20_BG/ZM_LZCODE20_BG (ZLO03N/NN), Z_ZLO03_TURBO2, Job-Schritte (TBTCP), SM37 ohne Benutzerfilter; Ann-Katrin fragen, ob der Effekt noch auftritt. zlo03/TAGESZEIT_ABHAENGIGKEIT_2026-10-13.md</t>
        </is>
      </c>
      <c r="K95" s="7" t="inlineStr"/>
      <c r="L95" s="7" t="inlineStr">
        <is>
          <t>PM-01</t>
        </is>
      </c>
      <c r="M95" s="156" t="inlineStr">
        <is>
          <t>Vorhaben</t>
        </is>
      </c>
    </row>
    <row r="96" ht="105" customHeight="1" s="62">
      <c r="A96" s="7" t="inlineStr">
        <is>
          <t>95</t>
        </is>
      </c>
      <c r="B96" s="7" t="inlineStr">
        <is>
          <t>Diese Woche</t>
        </is>
      </c>
      <c r="C96" s="7" t="inlineStr">
        <is>
          <t>SAP Berechtigung</t>
        </is>
      </c>
      <c r="D96" s="7" t="inlineStr"/>
      <c r="E96" s="7" t="inlineStr">
        <is>
          <t>Wolfurt: Abruf gegen Rahmenvertrag 46010612 (BLS Sarah, GAL Alexandra) scheitert an M_RAHM_EKO EKORG 1200</t>
        </is>
      </c>
      <c r="F96" s="7" t="inlineStr">
        <is>
          <t>Ingo</t>
        </is>
      </c>
      <c r="G96" s="7" t="inlineStr">
        <is>
          <t>Hoch</t>
        </is>
      </c>
      <c r="H96" s="155" t="inlineStr">
        <is>
          <t>Offen</t>
        </is>
      </c>
      <c r="I96" s="7" t="inlineStr"/>
      <c r="J96" s="7" t="inlineStr">
        <is>
          <t>13.10.: Ursache lesend in P76 gefunden (AT-Rolle ZD_SD_SUPAUS_ADMIN_RW_AT erlaubt M_RAHM_EKO nur EKORG 1100). Uebergang: Z_MM_BESTAND_RW mit Enddatum an BLS/GAL, Sarah testet, sonst SU53. Hauptadmin: M_RAHM_EKO 1200 in AT-Rolle ergaenzen, Z_MM_BESTAND_RW entfernen. Doku saptasks/BERECHTIGUNG_RAHMENVERTRAG_AT_2026-10-13.md | 15.10.: Berechtigung am 13.10. 12:04 erteilt (Mail an Fabio „bitte prüfen“); in Mail und Teams bis 15.10. keine Bestätigung von Sarah oder Fabio. Nachfragen, ob der Abruf jetzt geht; Übergangsrolle mit Enddatum im Auge behalten.</t>
        </is>
      </c>
      <c r="K96" s="7" t="inlineStr"/>
      <c r="L96" s="7" t="inlineStr"/>
      <c r="M96" s="7" t="inlineStr"/>
    </row>
    <row r="97" hidden="1" ht="105" customHeight="1" s="62">
      <c r="A97" s="7" t="inlineStr">
        <is>
          <t>96</t>
        </is>
      </c>
      <c r="B97" s="7" t="inlineStr">
        <is>
          <t>Diese Woche</t>
        </is>
      </c>
      <c r="C97" s="7" t="inlineStr">
        <is>
          <t>Plattform</t>
        </is>
      </c>
      <c r="D97" s="7" t="inlineStr"/>
      <c r="E97" s="7" t="inlineStr">
        <is>
          <t>Operations &gt; KPI: Liefertreue OTD / OTIF / OTP (Spezifikation Fabio Palma)</t>
        </is>
      </c>
      <c r="F97" s="7" t="inlineStr">
        <is>
          <t>Ingo</t>
        </is>
      </c>
      <c r="G97" s="7" t="inlineStr">
        <is>
          <t>Hoch</t>
        </is>
      </c>
      <c r="H97" s="153" t="inlineStr">
        <is>
          <t>Läuft</t>
        </is>
      </c>
      <c r="I97" s="7" t="inlineStr">
        <is>
          <t>2026-10-30</t>
        </is>
      </c>
      <c r="J97" s="7" t="inlineStr">
        <is>
          <t>14.10.: produktiv 10:04 (89e9c7c, 982e193), live aus SAP seit 10:33, Abnahme bestanden (OTD 90.6 %, OTIF 89.9 %, OTP 73.0 % wie Fabio). Offen: ZF_BR_SALES_MANAGER bei POWERBI läuft am 31.10. aus, schmale Rolle (S_RS_COMP Query 2CCSDSLSORDDLVPRFQ) beim Hauptadmin bestellen. Feiertage: Fabio bestätigt, nicht abziehen. Monatsabruf abgesichert (55b42d9: DB-Protokoll, Warnbanner, Admin-Log, alle 2 h). | 15.10.: Monatsabruf abgesichert (55b42d9: Versuche in DB, Warnbanner, Admin-Log, alle 2 h), Fabio bestätigt Feiertage nicht abziehen. Nächster fester Termin: schmale Rolle vor Ablauf von ZF_BR_SALES_MANAGER bei POWERBI am 31.10.</t>
        </is>
      </c>
      <c r="K97" s="7" t="inlineStr"/>
      <c r="L97" s="7" t="inlineStr"/>
      <c r="M97" s="7" t="inlineStr"/>
    </row>
    <row r="98" hidden="1" ht="75" customHeight="1" s="62">
      <c r="A98" s="7" t="inlineStr">
        <is>
          <t>97</t>
        </is>
      </c>
      <c r="B98" s="7" t="inlineStr">
        <is>
          <t>Diese Woche</t>
        </is>
      </c>
      <c r="C98" s="7" t="inlineStr">
        <is>
          <t>Plattform</t>
        </is>
      </c>
      <c r="D98" s="7" t="inlineStr"/>
      <c r="E98" s="7" t="inlineStr">
        <is>
          <t>Geringe Nutzung des Dashboards: messen und Massnahmen (Ersetzen statt ergänzen, Besitzer je Bereich, ins Meeting holen)</t>
        </is>
      </c>
      <c r="F98" s="7" t="inlineStr">
        <is>
          <t>Ingo</t>
        </is>
      </c>
      <c r="G98" s="7" t="inlineStr">
        <is>
          <t>Mittel</t>
        </is>
      </c>
      <c r="H98" s="153" t="inlineStr">
        <is>
          <t>Läuft</t>
        </is>
      </c>
      <c r="I98" s="7" t="inlineStr">
        <is>
          <t>2026-11-11</t>
        </is>
      </c>
      <c r="J98" s="7" t="inlineStr">
        <is>
          <t>14.10.: anonyme Nutzungsmessung produktiv (4615268, Admin &gt; Nutzung). Zwei bis vier Wochen messen, dann Seiten mit Besitzern besprechen; Massnahmen in docs/NUTZUNG_2026-10-14.md.</t>
        </is>
      </c>
      <c r="K98" s="7" t="inlineStr"/>
      <c r="L98" s="7" t="inlineStr"/>
      <c r="M98" s="7" t="inlineStr"/>
    </row>
    <row r="99" ht="60" customHeight="1" s="62">
      <c r="A99" s="7" t="inlineStr">
        <is>
          <t>98</t>
        </is>
      </c>
      <c r="B99" s="7" t="inlineStr">
        <is>
          <t>Heute</t>
        </is>
      </c>
      <c r="C99" s="7" t="inlineStr">
        <is>
          <t>Einkauf</t>
        </is>
      </c>
      <c r="D99" s="7" t="inlineStr"/>
      <c r="E99" s="7" t="inlineStr">
        <is>
          <t>Einkauf-Delta vom 14.10. prüfen: Deploy um ~13:30 hat einen grossen Schreiblauf vermutlich abgebrochen</t>
        </is>
      </c>
      <c r="F99" s="7" t="inlineStr">
        <is>
          <t>Ingo</t>
        </is>
      </c>
      <c r="G99" s="7" t="inlineStr">
        <is>
          <t>Hoch</t>
        </is>
      </c>
      <c r="H99" s="155" t="inlineStr">
        <is>
          <t>Offen</t>
        </is>
      </c>
      <c r="I99" s="7" t="inlineStr"/>
      <c r="J99" s="7" t="inlineStr">
        <is>
          <t>Auf /einkauf/ideen/datenservice nachsehen, ob ein Lauf „beim Start abgebrochen“ ist, und ihn bei Bedarf neu starten. Ursache und Regel in docs/rag/LEARNINGS.md (2026-10-14).</t>
        </is>
      </c>
      <c r="K99" s="7" t="inlineStr"/>
      <c r="L99" s="7" t="inlineStr"/>
      <c r="M99" s="7" t="inlineStr"/>
    </row>
    <row r="100" ht="75" customHeight="1" s="62">
      <c r="A100" s="7" t="inlineStr">
        <is>
          <t>99</t>
        </is>
      </c>
      <c r="B100" s="7" t="inlineStr">
        <is>
          <t>Entscheid</t>
        </is>
      </c>
      <c r="C100" s="7" t="inlineStr">
        <is>
          <t>Plattform</t>
        </is>
      </c>
      <c r="D100" s="7" t="inlineStr"/>
      <c r="E100" s="7" t="inlineStr">
        <is>
          <t>Zusammenarbeit mit Fabio: schnellerer Ablauf für seine Änderungen (Paket-Ordner, selbst pflegbare Konfiguration, eigenes Operations-Repository)</t>
        </is>
      </c>
      <c r="F100" s="7" t="inlineStr">
        <is>
          <t>Ingo</t>
        </is>
      </c>
      <c r="G100" s="7" t="inlineStr">
        <is>
          <t>Mittel</t>
        </is>
      </c>
      <c r="H100" s="7" t="inlineStr">
        <is>
          <t>Wartet auf Entscheid</t>
        </is>
      </c>
      <c r="I100" s="7" t="inlineStr"/>
      <c r="J100" s="7" t="inlineStr">
        <is>
          <t>15.10.: Fabio möchte selbst entwickeln, Ingo nur freigeben. Kein Zugriff aufs Haupt-Repository (Passwort-Hashes, HR/Finance-Doku, Deploy-Werkzeuge). Vorschlag: sofort fester Paket-Ordner plus Satz „Fabio-Paket deployen“, mittelfristig Shopfloor-Konfiguration als Seite pflegbar, später eigenes Repository mit Pull Requests.</t>
        </is>
      </c>
      <c r="K100" s="7" t="inlineStr"/>
      <c r="L100" s="7" t="inlineStr"/>
      <c r="M100" s="7" t="inlineStr"/>
    </row>
    <row r="101" ht="90" customHeight="1" s="62">
      <c r="A101" s="7" t="inlineStr">
        <is>
          <t>100</t>
        </is>
      </c>
      <c r="B101" s="7" t="inlineStr">
        <is>
          <t>Umsetzung</t>
        </is>
      </c>
      <c r="C101" s="7" t="inlineStr">
        <is>
          <t>Plattform</t>
        </is>
      </c>
      <c r="D101" s="7" t="inlineStr"/>
      <c r="E101" s="7" t="inlineStr">
        <is>
          <t>Passwort-Hashes (Finance, HR, Operations-Login) aus appsettings.json im Repository entfernen</t>
        </is>
      </c>
      <c r="F101" s="7" t="inlineStr">
        <is>
          <t>Ingo</t>
        </is>
      </c>
      <c r="G101" s="7" t="inlineStr">
        <is>
          <t>Mittel</t>
        </is>
      </c>
      <c r="H101" s="7" t="inlineStr">
        <is>
          <t>In Arbeit</t>
        </is>
      </c>
      <c r="I101" s="7" t="inlineStr"/>
      <c r="J101" s="7" t="inlineStr">
        <is>
          <t>15.10.: Teilschritt umgesetzt (e1afd49, produktiv 15.10. 10:56): Passwörter liegen deploy-fest in der Cockpit-DB und werden unter Admin &gt; Passwörter gesetzt; appsettings ist nur noch Rückfall. Nach dem Deploy setzt Ingo alle Bereiche dort neu, danach die alten Hashes in appsettings.json leeren oder ersetzen. 15.10. beim Prüfen der Weitergabe an Fabio gefunden: appsettings.json im Git enthält die Hashes. In eine Server-Einstellung auslagern, die nicht eingecheckt wird; Deploy darf sie nicht überschreiben.</t>
        </is>
      </c>
      <c r="K101" s="7" t="inlineStr"/>
      <c r="L101" s="7" t="inlineStr"/>
      <c r="M101" s="7" t="inlineStr"/>
    </row>
    <row r="102" hidden="1" ht="90" customHeight="1" s="62">
      <c r="A102" s="7" t="inlineStr">
        <is>
          <t>101</t>
        </is>
      </c>
      <c r="B102" s="7" t="inlineStr">
        <is>
          <t>Umsetzung</t>
        </is>
      </c>
      <c r="C102" s="7" t="inlineStr">
        <is>
          <t>Plattform</t>
        </is>
      </c>
      <c r="D102" s="7" t="inlineStr"/>
      <c r="E102" s="7" t="inlineStr">
        <is>
          <t>Startseite und Kopfleiste neu: Standortgrafik mit Live-Zustand, Untertitel, Titel „Trafag Dashboard“, Manometer abschaltbar, CPU-Anzeige, Handbuch Kapitel Operations</t>
        </is>
      </c>
      <c r="F102" s="7" t="inlineStr">
        <is>
          <t>Ingo</t>
        </is>
      </c>
      <c r="G102" s="7" t="inlineStr">
        <is>
          <t>Mittel</t>
        </is>
      </c>
      <c r="H102" s="151" t="inlineStr">
        <is>
          <t>Erledigt</t>
        </is>
      </c>
      <c r="I102" s="7" t="inlineStr"/>
      <c r="J102" s="7" t="inlineStr">
        <is>
          <t>14.10.: alles produktiv (ce5d27d, d911cb1, b5b4727, cc9c6ab, a735b41, 5b51011, f38020f), von Ingo gesichtet („super“). Offen nur auf Wunsch: Strichmännchen-Schalter ebenfalls in die DB (wird heute bei jedem Deploy zurückgesetzt).</t>
        </is>
      </c>
      <c r="K102" s="7" t="inlineStr">
        <is>
          <t>2026-10-14 14:00</t>
        </is>
      </c>
      <c r="L102" s="7" t="inlineStr"/>
      <c r="M102" s="7" t="inlineStr"/>
    </row>
    <row r="103" ht="60" customHeight="1" s="62">
      <c r="A103" s="7" t="inlineStr">
        <is>
          <t>102</t>
        </is>
      </c>
      <c r="B103" s="7" t="inlineStr">
        <is>
          <t>Umsetzung</t>
        </is>
      </c>
      <c r="C103" s="7" t="inlineStr">
        <is>
          <t>Plattform</t>
        </is>
      </c>
      <c r="D103" s="7" t="inlineStr"/>
      <c r="E103" s="7" t="inlineStr">
        <is>
          <t>Passwörter aller Bereiche (Admin, Finance, HR, Operations, Logistik) im Admin setzbar, gespeichert in der DB</t>
        </is>
      </c>
      <c r="F103" s="7" t="inlineStr">
        <is>
          <t>Ingo</t>
        </is>
      </c>
      <c r="G103" s="7" t="inlineStr">
        <is>
          <t>Mittel</t>
        </is>
      </c>
      <c r="H103" s="7" t="inlineStr">
        <is>
          <t>In Arbeit</t>
        </is>
      </c>
      <c r="I103" s="7" t="inlineStr"/>
      <c r="J103" s="7" t="inlineStr">
        <is>
          <t>15.10.: Seite Admin &gt; Passwörter produktiv (e1afd49, Deploy 10:56, 1232/1232). Ingo setzt dort das Admin-Passwort und bei Bedarf die übrigen.</t>
        </is>
      </c>
      <c r="K103" s="7" t="inlineStr"/>
      <c r="L103" s="7" t="inlineStr"/>
      <c r="M103" s="7" t="inlineStr"/>
    </row>
    <row r="104" hidden="1" ht="45" customHeight="1" s="62">
      <c r="A104" s="7" t="inlineStr">
        <is>
          <t>103</t>
        </is>
      </c>
      <c r="B104" s="7" t="inlineStr">
        <is>
          <t>Umsetzung</t>
        </is>
      </c>
      <c r="C104" s="7" t="inlineStr">
        <is>
          <t>Operations</t>
        </is>
      </c>
      <c r="D104" s="7" t="inlineStr"/>
      <c r="E104" s="7" t="inlineStr">
        <is>
          <t>Operations-Login per Admin-Schalter abschaltbar (alle sehen dasselbe, Wunsch Fabio)</t>
        </is>
      </c>
      <c r="F104" s="7" t="inlineStr">
        <is>
          <t>Ingo</t>
        </is>
      </c>
      <c r="G104" s="7" t="inlineStr">
        <is>
          <t>Mittel</t>
        </is>
      </c>
      <c r="H104" s="151" t="inlineStr">
        <is>
          <t>Erledigt</t>
        </is>
      </c>
      <c r="I104" s="7" t="inlineStr"/>
      <c r="J104" s="7" t="inlineStr">
        <is>
          <t>15.10.: produktiv 12:15 (8bfe424), Freigabe Produktionsleitung erteilt. 16.10.: Login aus über Shopfloor:OpenForAll = true (70a02b1, produktiv 07:48); der Admin-Schalter hat weiter Vorrang, falls er gesetzt wird.</t>
        </is>
      </c>
      <c r="K104" s="7" t="inlineStr">
        <is>
          <t>16.10.2026</t>
        </is>
      </c>
      <c r="L104" s="7" t="inlineStr"/>
      <c r="M104" s="7" t="inlineStr"/>
    </row>
    <row r="105" hidden="1" ht="105" customHeight="1" s="62">
      <c r="A105" s="7" t="inlineStr">
        <is>
          <t>104</t>
        </is>
      </c>
      <c r="B105" s="7" t="inlineStr">
        <is>
          <t>Umsetzung</t>
        </is>
      </c>
      <c r="C105" s="7" t="inlineStr">
        <is>
          <t>SAP</t>
        </is>
      </c>
      <c r="D105" s="7" t="inlineStr"/>
      <c r="E105" s="7" t="inlineStr">
        <is>
          <t>ZC23: neue Spalte Materialanteil (Material aus der Standardkalkulation wie ZM03)</t>
        </is>
      </c>
      <c r="F105" s="7" t="inlineStr">
        <is>
          <t>Ingo</t>
        </is>
      </c>
      <c r="G105" s="7" t="inlineStr">
        <is>
          <t>Mittel</t>
        </is>
      </c>
      <c r="H105" s="151" t="inlineStr">
        <is>
          <t>Erledigt</t>
        </is>
      </c>
      <c r="I105" s="7" t="inlineStr"/>
      <c r="J105" s="7" t="inlineStr">
        <is>
          <t>16.10.: T76K912736 in P76 importiert (Ingo). 19.10.: Word-Doku zur Beschleunigung (saptasks/zc23_materialanteil/ZC23_Materialanteil_Beschleunigung_2026-10-19.docx). Rest: Laufzeit BI UPDATE als Job festhalten; Spalten in eigenen Layouts einblenden | 15.10.: in T76 fertig: Transport T76K912736 (ZMM_UEB_KDAUF, ZPOWERBI_KDAUF, OData, ZM_OFFENE_KDAUF), schnelle Fassung mit Schalter, Spalte Arbeit CZ wie ZM03, Spalten neben Standardwert mit CHF, Q2 13,5 s, Werte = ZM03. Formel-Doku docs/ZC23_Materialanteil_Formeln_2026-10-15.docx. Offen: Ingo gibt T76K912736 frei, Import P76, Gateway-Caches leeren, ZC23 ansehen.</t>
        </is>
      </c>
      <c r="K105" s="7" t="inlineStr">
        <is>
          <t>16.10.2026</t>
        </is>
      </c>
      <c r="L105" s="7" t="inlineStr"/>
      <c r="M105" s="7" t="inlineStr"/>
    </row>
    <row r="106" hidden="1" ht="60" customHeight="1" s="62">
      <c r="A106" s="7" t="inlineStr">
        <is>
          <t>105</t>
        </is>
      </c>
      <c r="B106" s="7" t="inlineStr">
        <is>
          <t>Umsetzung</t>
        </is>
      </c>
      <c r="C106" s="7" t="inlineStr">
        <is>
          <t>SAP</t>
        </is>
      </c>
      <c r="D106" s="7" t="inlineStr"/>
      <c r="E106" s="7" t="inlineStr">
        <is>
          <t>Erste Fiori-App (Harness fuer kuenftige Erfassungs-Apps), nur lesen, T76 $TMP</t>
        </is>
      </c>
      <c r="F106" s="7" t="inlineStr">
        <is>
          <t>Ingo</t>
        </is>
      </c>
      <c r="G106" s="7" t="inlineStr">
        <is>
          <t>Niedrig</t>
        </is>
      </c>
      <c r="H106" s="151" t="inlineStr">
        <is>
          <t>Erledigt</t>
        </is>
      </c>
      <c r="I106" s="7" t="inlineStr"/>
      <c r="J106" s="7" t="inlineStr">
        <is>
          <t>15.10.: Schritt 1 erledigt: ZFI_ERSTE_APP in T76, laeuft im Browser (50 Zeilen ProductDivisionRefSet). Link http://travt762.sap.trafag.com:8000/sap/bc/ui5_ui5/sap/zfi_erste_app/index.html?sap-client=100. Naechster Schritt bei Bedarf: Erfassung (CREATE) oder Launchpad-Kachel.</t>
        </is>
      </c>
      <c r="K106" s="7" t="inlineStr">
        <is>
          <t>15.10.2026</t>
        </is>
      </c>
      <c r="L106" s="7" t="inlineStr"/>
      <c r="M106" s="7" t="inlineStr"/>
    </row>
    <row r="107" hidden="1" ht="75" customHeight="1" s="62">
      <c r="A107" s="7" t="inlineStr">
        <is>
          <t>106</t>
        </is>
      </c>
      <c r="B107" s="7" t="inlineStr">
        <is>
          <t>Umsetzung</t>
        </is>
      </c>
      <c r="C107" s="7" t="inlineStr">
        <is>
          <t>SAP</t>
        </is>
      </c>
      <c r="D107" s="7" t="inlineStr"/>
      <c r="E107" s="7" t="inlineStr">
        <is>
          <t>Fiori-App ZC23 live mit Selektion, Kacheln und Trafag-Logo (Zc23Set)</t>
        </is>
      </c>
      <c r="F107" s="7" t="inlineStr">
        <is>
          <t>Ingo</t>
        </is>
      </c>
      <c r="G107" s="7" t="inlineStr">
        <is>
          <t>Mittel</t>
        </is>
      </c>
      <c r="H107" s="151" t="inlineStr">
        <is>
          <t>Erledigt</t>
        </is>
      </c>
      <c r="I107" s="7" t="inlineStr"/>
      <c r="J107" s="7" t="inlineStr">
        <is>
          <t>16.10.: T76K912738 in P76 importiert, Caches auf travp762 geleert. App ZFI_ZC23 liegt nur in T76 ($TMP), Uebernahme nach P76 erst auf Wunsch | 15.10.: in T76 fertig und geprueft (Q2 gleich ZPOWERBI_KDAUF). Transport T76K912738 (ZM_OFFENE_KDAUF P_APP, ZSTR_ZC23_APP, MPC/DPC). App ZFI_ZC23 in $TMP. Offen: Ingo/Armin sehen an; T76 ist eine alte Kopie, live erst nach Import P76 (App dafuer mit Paket/Transport neu hochladen).</t>
        </is>
      </c>
      <c r="K107" s="7" t="inlineStr">
        <is>
          <t>16.10.2026</t>
        </is>
      </c>
      <c r="L107" s="7" t="inlineStr"/>
      <c r="M107" s="7" t="inlineStr"/>
    </row>
    <row r="108" hidden="1" ht="120" customHeight="1" s="62">
      <c r="A108" s="7" t="inlineStr">
        <is>
          <t>107</t>
        </is>
      </c>
      <c r="B108" s="7" t="inlineStr">
        <is>
          <t>Umsetzung</t>
        </is>
      </c>
      <c r="C108" s="7" t="inlineStr">
        <is>
          <t>Operations</t>
        </is>
      </c>
      <c r="D108" s="7" t="inlineStr"/>
      <c r="E108" s="7" t="inlineStr">
        <is>
          <t>Shopfloor: Paket Fabio 2026-10-16 einspielen (Ampel, Lieferzeiten, Forecast DS, Config)</t>
        </is>
      </c>
      <c r="F108" s="7" t="inlineStr">
        <is>
          <t>Ingo</t>
        </is>
      </c>
      <c r="G108" s="7" t="inlineStr">
        <is>
          <t>Mittel</t>
        </is>
      </c>
      <c r="H108" s="151" t="inlineStr">
        <is>
          <t>Erledigt</t>
        </is>
      </c>
      <c r="I108" s="7" t="inlineStr"/>
      <c r="J108" s="7" t="inlineStr">
        <is>
          <t>16.10.: alles produktiv (Paket, ZD05 04:00/12:45, Ampel loeschbar, Operations offen fuer alle, Mengen aus SAP). Folgepunkte in Zeile 110 | 16.10.: produktiv 07:06 (b2103a4, 1240/1240), im Browser geprueft (Lieferzeiten, Ampel, Forecast DS, DW1 ohne Abteilung). ZD05 seit 16.10. um 04:00 und 12:45 (a285009). Speichertest Ampel produktiv ok. 16.10.: J5 Logistik, J8 SEH/TR5, J11 FPY SEH gebaut (ShopRmSet/ShopProdSet T76, gegen ZC27 gleich; Cockpit 2bc54bd, Schreiben aus). P76 importiert, Vorschau gleich Kontrollwerten, seit 09:51 live (9d6b5d2). Offen: J2/J3 Verkauf (KEA0), J6 Auftragsvorrat, Lieferzeit-Ziele Daniel Tobler. Ampel seit 07:37 loeschbar, planned_source aus Fabios Paketen wird gelesen (e6c007f)</t>
        </is>
      </c>
      <c r="K108" s="7" t="inlineStr">
        <is>
          <t>16.10.2026</t>
        </is>
      </c>
      <c r="L108" s="7" t="inlineStr"/>
      <c r="M108" s="7" t="inlineStr"/>
    </row>
    <row r="109" hidden="1" ht="60" customHeight="1" s="62">
      <c r="A109" s="7" t="inlineStr">
        <is>
          <t>108</t>
        </is>
      </c>
      <c r="B109" s="7" t="inlineStr">
        <is>
          <t>Umsetzung</t>
        </is>
      </c>
      <c r="C109" s="7" t="inlineStr">
        <is>
          <t>Operations</t>
        </is>
      </c>
      <c r="D109" s="7" t="inlineStr"/>
      <c r="E109" s="7" t="inlineStr">
        <is>
          <t>Benutzerhandbuch Kapitel Operations erweitern (alle Seiten, Interpretation, Geschaeftsprozess)</t>
        </is>
      </c>
      <c r="F109" s="7" t="inlineStr">
        <is>
          <t>Ingo</t>
        </is>
      </c>
      <c r="G109" s="7" t="inlineStr">
        <is>
          <t>Mittel</t>
        </is>
      </c>
      <c r="H109" s="151" t="inlineStr">
        <is>
          <t>Erledigt</t>
        </is>
      </c>
      <c r="I109" s="7" t="inlineStr"/>
      <c r="J109" s="7" t="inlineStr">
        <is>
          <t>16.10.: Kapitel 10 neu (Geschaeftsprozess, 18 Seitenabschnitte, Glossar 21 Begriffe), Word neu, deployed; Schnellueberblick mit Prozessgrafik (Trafag CI) ergaenzt</t>
        </is>
      </c>
      <c r="K109" s="7" t="inlineStr">
        <is>
          <t>16.10.2026</t>
        </is>
      </c>
      <c r="L109" s="7" t="inlineStr"/>
      <c r="M109" s="7" t="inlineStr"/>
    </row>
    <row r="110" hidden="1" ht="45" customHeight="1" s="62">
      <c r="A110" s="7" t="inlineStr">
        <is>
          <t>109</t>
        </is>
      </c>
      <c r="B110" s="7" t="inlineStr">
        <is>
          <t>Umsetzung</t>
        </is>
      </c>
      <c r="C110" s="7" t="inlineStr">
        <is>
          <t>Einkauf</t>
        </is>
      </c>
      <c r="D110" s="7" t="inlineStr"/>
      <c r="E110" s="7" t="inlineStr">
        <is>
          <t>Stücklisten-Netz „Gehirn“ im Spend-Aufriss (Prototyp, WebGL, Farbe umschaltbar)</t>
        </is>
      </c>
      <c r="F110" s="7" t="inlineStr">
        <is>
          <t>Ingo</t>
        </is>
      </c>
      <c r="G110" s="7" t="inlineStr">
        <is>
          <t>Niedrig</t>
        </is>
      </c>
      <c r="H110" s="151" t="inlineStr">
        <is>
          <t>Erledigt</t>
        </is>
      </c>
      <c r="I110" s="7" t="inlineStr"/>
      <c r="J110" s="7" t="inlineStr">
        <is>
          <t>16.10.: live 10:48 (d6ca646), 11'005 Materialien, 24'979 Stränge; später ganze Stückliste aus SAP</t>
        </is>
      </c>
      <c r="K110" s="7" t="inlineStr">
        <is>
          <t>16.10.2026</t>
        </is>
      </c>
      <c r="L110" s="7" t="inlineStr"/>
      <c r="M110" s="7" t="inlineStr"/>
    </row>
    <row r="111" ht="60" customHeight="1" s="62">
      <c r="A111" s="7" t="inlineStr">
        <is>
          <t>110</t>
        </is>
      </c>
      <c r="B111" s="7" t="inlineStr">
        <is>
          <t>Umsetzung</t>
        </is>
      </c>
      <c r="C111" s="7" t="inlineStr">
        <is>
          <t>Operations</t>
        </is>
      </c>
      <c r="D111" s="7" t="inlineStr"/>
      <c r="E111" s="7" t="inlineStr">
        <is>
          <t>Shopfloor: Mengen auf dem Produktionstag, DW prod (DL790), TX-Quellen (Feedback Fabio 19.10.)</t>
        </is>
      </c>
      <c r="F111" s="7" t="inlineStr">
        <is>
          <t>Ingo</t>
        </is>
      </c>
      <c r="G111" s="7" t="inlineStr">
        <is>
          <t>Mittel</t>
        </is>
      </c>
      <c r="H111" s="7" t="inlineStr">
        <is>
          <t>In Arbeit</t>
        </is>
      </c>
      <c r="I111" s="7" t="inlineStr"/>
      <c r="J111" s="7" t="inlineStr">
        <is>
          <t>19.10.: Produktionstag und DW prod produktiv 10:04, 15. bis 19.10. umgebucht. Offen: TX vorrat/offen_kw/plan5 aus ZC22 (J6, SAP-Set noetig), TX prod (Arbeitsplatz klaert Fabio), TX fpy aus MES; DW-Werte mit ZC27 gegenpruefen (Fabio). saptasks/shopfloor_sap/NOTES.md Abschnitt 8</t>
        </is>
      </c>
      <c r="K111" s="7" t="inlineStr"/>
      <c r="L111" s="7" t="inlineStr"/>
      <c r="M111" s="7" t="inlineStr"/>
    </row>
    <row r="112" ht="45" customHeight="1" s="62">
      <c r="A112" s="7" t="inlineStr">
        <is>
          <t>111</t>
        </is>
      </c>
      <c r="B112" s="7" t="inlineStr">
        <is>
          <t>Heute</t>
        </is>
      </c>
      <c r="C112" s="7" t="inlineStr">
        <is>
          <t>Operations</t>
        </is>
      </c>
      <c r="D112" s="7" t="inlineStr"/>
      <c r="E112" s="7" t="inlineStr">
        <is>
          <t>Shopfloor: „Erfasst“ zaehlt auch Tage, an denen nur die Ampel gesetzt ist</t>
        </is>
      </c>
      <c r="F112" s="7" t="inlineStr">
        <is>
          <t>Ingo</t>
        </is>
      </c>
      <c r="G112" s="7" t="inlineStr">
        <is>
          <t>Niedrig</t>
        </is>
      </c>
      <c r="H112" s="155" t="inlineStr">
        <is>
          <t>Offen</t>
        </is>
      </c>
      <c r="I112" s="7" t="inlineStr"/>
      <c r="J112" s="7" t="inlineStr">
        <is>
          <t>16.10.: Fix angeboten (nur Kennzahlenfelder zaehlen), Entscheid Ingo offen</t>
        </is>
      </c>
      <c r="K112" s="7" t="inlineStr"/>
      <c r="L112" s="7" t="inlineStr"/>
      <c r="M112" s="7" t="inlineStr"/>
    </row>
    <row r="113" ht="105" customHeight="1" s="62">
      <c r="A113" s="7" t="inlineStr">
        <is>
          <t>112</t>
        </is>
      </c>
      <c r="B113" s="7" t="inlineStr">
        <is>
          <t>Diese Woche</t>
        </is>
      </c>
      <c r="C113" s="7" t="inlineStr">
        <is>
          <t>Projekte</t>
        </is>
      </c>
      <c r="D113" s="7" t="inlineStr"/>
      <c r="E113" s="7" t="inlineStr">
        <is>
          <t>GIB/DCP: SAP-Add-on GIB Dispo-Cockpit Planning, Module installiert, Pilotphase abgeschlossen (Ingo 19.10.)</t>
        </is>
      </c>
      <c r="F113" s="7" t="inlineStr">
        <is>
          <t>Ingo</t>
        </is>
      </c>
      <c r="G113" s="7" t="inlineStr">
        <is>
          <t>Mittel</t>
        </is>
      </c>
      <c r="H113" s="7" t="inlineStr">
        <is>
          <t>In Arbeit</t>
        </is>
      </c>
      <c r="I113" s="7" t="inlineStr"/>
      <c r="J113" s="7" t="inlineStr">
        <is>
          <t>19.10.: Testuser UBIG in T76/200 nur mit /GIB/DCP_SUPERVISOR angelegt (saptasks/gib_dcp/NOTES.md); Ingo setzt Initialkennwort und testet /GIB/DCP | 19.10.: DCP = GIB Dispo-Cockpit Planning (SAP-Add-on, Planung/Simulation); Zusammenfassung docs/GIB_DispoCockpit_DCP_Zusammenfassung_2026-10-19.docx. Sergio schaut das Modul an. Offen: Module, Werke, wer transportiert und Rollen zuordnet, Ueberschneidung mit Cockpit | 19.10.: Im Repository nichts zu DCP gefunden; Mail lesen (M365 neu verbinden) oder beim Absender klaeren, worum es geht</t>
        </is>
      </c>
      <c r="K113" s="7" t="inlineStr"/>
      <c r="L113" s="7" t="inlineStr"/>
      <c r="M113" s="7" t="inlineStr"/>
    </row>
    <row r="114" ht="30" customHeight="1" s="62">
      <c r="A114" s="7" t="inlineStr">
        <is>
          <t>113</t>
        </is>
      </c>
      <c r="B114" s="7" t="inlineStr">
        <is>
          <t>Heute</t>
        </is>
      </c>
      <c r="C114" s="7" t="inlineStr">
        <is>
          <t>Persönlich</t>
        </is>
      </c>
      <c r="D114" s="7" t="inlineStr"/>
      <c r="E114" s="7" t="inlineStr">
        <is>
          <t>Zeiterfassung 15.10.: Gehen nachtragen (vergessen)</t>
        </is>
      </c>
      <c r="F114" s="7" t="inlineStr">
        <is>
          <t>Ingo</t>
        </is>
      </c>
      <c r="G114" s="7" t="inlineStr">
        <is>
          <t>Mittel</t>
        </is>
      </c>
      <c r="H114" s="151" t="inlineStr">
        <is>
          <t>Erledigt</t>
        </is>
      </c>
      <c r="I114" s="7" t="inlineStr"/>
      <c r="J114" s="7" t="inlineStr">
        <is>
          <t>20.10.: Gehen 15.10. nachgetragen (Ingo) | 19.10.: laut Protokoll 16:22 Laptop in Standby, 16:25 Firmen-WLAN getrennt; 16:25 nachtragen</t>
        </is>
      </c>
      <c r="K114" s="7" t="inlineStr">
        <is>
          <t>2026-10-20 09:46</t>
        </is>
      </c>
      <c r="L114" s="7" t="inlineStr"/>
      <c r="M114" s="7" t="inlineStr"/>
    </row>
    <row r="115">
      <c r="A115" s="7" t="inlineStr">
        <is>
          <t>114</t>
        </is>
      </c>
      <c r="B115" s="7" t="inlineStr">
        <is>
          <t>Diese Woche</t>
        </is>
      </c>
      <c r="C115" s="7" t="inlineStr">
        <is>
          <t>SAP</t>
        </is>
      </c>
      <c r="D115" s="7" t="inlineStr"/>
      <c r="E115" s="7" t="inlineStr">
        <is>
          <t>ZLO03: Spalten RoHS/REACH/PFAS (Wunsch Florian Waechter)</t>
        </is>
      </c>
      <c r="F115" s="7" t="inlineStr">
        <is>
          <t>Ingo</t>
        </is>
      </c>
      <c r="G115" s="7" t="inlineStr">
        <is>
          <t>Hoch</t>
        </is>
      </c>
      <c r="H115" s="7" t="inlineStr">
        <is>
          <t>In Arbeit</t>
        </is>
      </c>
      <c r="I115" s="7" t="inlineStr"/>
      <c r="J115" s="7" t="inlineStr">
        <is>
          <t>20.10.: FIX 19 (REACH, SVHC, PFAS-Gehalt aus Z_PACK_REGULATION) in T76 aktiv, in T76K912742; Lauf fehlerfrei, Spalten leer (T76 ohne Werte). Offen: Test mit Werten (Testklassifizierung T76 oder nach Import P76), RoHS-Merkmal durch Adil (Vorschlag ROHSCOM). zlo03/FIX19_STOFFCOMPLIANCE_SPALTEN_2026-10-20.md</t>
        </is>
      </c>
      <c r="K115" s="7" t="inlineStr"/>
      <c r="L115" s="7" t="inlineStr"/>
      <c r="M115" s="7" t="inlineStr"/>
    </row>
    <row r="116">
      <c r="A116" s="7" t="inlineStr">
        <is>
          <t>115</t>
        </is>
      </c>
      <c r="B116" s="7" t="inlineStr">
        <is>
          <t>Diese Woche</t>
        </is>
      </c>
      <c r="C116" s="7" t="inlineStr">
        <is>
          <t>Projekte</t>
        </is>
      </c>
      <c r="D116" s="7" t="inlineStr"/>
      <c r="E116" s="7" t="inlineStr">
        <is>
          <t>SAP PS: Einfuehrung, Demo und Fazit fuer den Chef (Leistungserfassung auf Projekte, Abgleich TPG ProjectPowerPack)</t>
        </is>
      </c>
      <c r="F116" s="7" t="inlineStr">
        <is>
          <t>Ingo</t>
        </is>
      </c>
      <c r="G116" s="7" t="inlineStr">
        <is>
          <t>Hoch</t>
        </is>
      </c>
      <c r="H116" s="7" t="inlineStr">
        <is>
          <t>In Arbeit</t>
        </is>
      </c>
      <c r="I116" s="7" t="inlineStr"/>
      <c r="J116" s="7" t="inlineStr">
        <is>
          <t>20.10. nachmittags: P76 lesend geprueft (PS nicht eingerichtet, keine Projekte, 44 Innenauftraege seit 2025); externe Kosten durchgespielt (ME21N Kontierung P, Verbuchung T76 an Nachrichtenausgabe abgebrochen; FB60 1500 CHF auf DEMO-PS.2, CJI3 Total 1896 CHF); Folien 11-16. Offen: Termin Philip Steiger, Entscheid Stufe 2/3 | 20.10.: Demo in T76 durchgespielt (DEMO-PS, Zeit 6 h per KB21N, CJI3), Befunde und Transaktionen in docs/SAP_PS_EINFUEHRUNG_DEMO_2026-10-20.md. Folien 11-15 in "20260223 - Abgleich TPG - Trafag (mit SAP PS).pptx" ergaenzt. Offen: P76 lesend pruefen, externe Kosten (ME21N Kontierung P) durchspielen, Termin Philip Steiger</t>
        </is>
      </c>
      <c r="K116" s="7" t="inlineStr"/>
      <c r="L116" s="7" t="inlineStr"/>
      <c r="M116" s="7" t="inlineStr"/>
    </row>
    <row r="117">
      <c r="A117" s="7" t="inlineStr">
        <is>
          <t>116</t>
        </is>
      </c>
      <c r="B117" s="7" t="inlineStr">
        <is>
          <t>Diese Woche</t>
        </is>
      </c>
      <c r="C117" s="7" t="inlineStr">
        <is>
          <t>Projekte</t>
        </is>
      </c>
      <c r="D117" s="7" t="inlineStr"/>
      <c r="E117" s="7" t="inlineStr">
        <is>
          <t>Abschlussrunde Trafag Dashboard und nächster Schritt Data Lake mit allen Bereichen (90 Min.)</t>
        </is>
      </c>
      <c r="F117" s="7" t="inlineStr">
        <is>
          <t>Ingo</t>
        </is>
      </c>
      <c r="G117" s="7" t="inlineStr">
        <is>
          <t>Mittel</t>
        </is>
      </c>
      <c r="H117" s="7" t="inlineStr">
        <is>
          <t>In Arbeit</t>
        </is>
      </c>
      <c r="I117" s="7" t="inlineStr"/>
      <c r="J117" s="7" t="inlineStr">
        <is>
          <t>20.10.: Einladung in Outlook verschickt (Agenda: Stand je Bereich, Runde Finance/Einkauf/Supply Chain/HR/Sales, Data Lake Zielbild und Datenverantwortliche, Abnahme Dashboard). Vorbereitung: je Bereich Top-3-Punkte</t>
        </is>
      </c>
      <c r="K117" s="7" t="inlineStr"/>
      <c r="L117" s="7" t="inlineStr"/>
      <c r="M117" s="7" t="inlineStr"/>
    </row>
    <row r="118">
      <c r="A118" s="7" t="inlineStr">
        <is>
          <t>117</t>
        </is>
      </c>
      <c r="B118" s="7" t="inlineStr">
        <is>
          <t>Entscheid</t>
        </is>
      </c>
      <c r="C118" s="7" t="inlineStr">
        <is>
          <t>Finance</t>
        </is>
      </c>
      <c r="D118" s="7" t="inlineStr"/>
      <c r="E118" s="7" t="inlineStr">
        <is>
          <t>Finance_All-Automatik: unkommittierter Code im Arbeitsbaum ohne Auftrag (Sitzung 11.09.)</t>
        </is>
      </c>
      <c r="F118" s="7" t="inlineStr">
        <is>
          <t>Ingo</t>
        </is>
      </c>
      <c r="G118" s="7" t="inlineStr">
        <is>
          <t>Mittel</t>
        </is>
      </c>
      <c r="H118" s="7" t="inlineStr">
        <is>
          <t>Wartet auf Entscheid</t>
        </is>
      </c>
      <c r="I118" s="7" t="inlineStr"/>
      <c r="J118" s="7" t="inlineStr">
        <is>
          <t>21.10. beim Abgleich Code gegen Doku gefunden: Services/FinanceAllExportService.cs und FinanceAllWorkbookWriter.cs (neu), TimerBackgroundService.cs +29, Program.cs +1, csproj +5, nicht committet und nicht deployed; Fertigstellung ungeprueft (Hinweis in AGENT_COORDINATION). Ingo entscheidet: fertigstellen, testen und deployen oder verwerfen.</t>
        </is>
      </c>
      <c r="K118" s="7" t="inlineStr"/>
      <c r="L118" s="7" t="inlineStr"/>
      <c r="M118" s="7" t="inlineStr"/>
    </row>
    <row r="119">
      <c r="A119" s="7" t="inlineStr">
        <is>
          <t>118</t>
        </is>
      </c>
      <c r="B119" s="7" t="inlineStr">
        <is>
          <t>Umsetzung</t>
        </is>
      </c>
      <c r="C119" s="7" t="inlineStr">
        <is>
          <t>Plattform</t>
        </is>
      </c>
      <c r="D119" s="7" t="inlineStr"/>
      <c r="E119" s="7" t="inlineStr">
        <is>
          <t>Qdrant-Doku-Suche: Index aktuell halten, Reindex-Docs.ps1 robust machen</t>
        </is>
      </c>
      <c r="F119" s="7" t="inlineStr">
        <is>
          <t>Claude</t>
        </is>
      </c>
      <c r="G119" s="7" t="inlineStr">
        <is>
          <t>Niedrig</t>
        </is>
      </c>
      <c r="H119" s="7" t="inlineStr">
        <is>
          <t>Wartet auf Entscheid</t>
        </is>
      </c>
      <c r="I119" s="7" t="inlineStr"/>
      <c r="J119" s="7" t="inlineStr">
        <is>
          <t>21.10.: Index neu aufgebaut (4245 Abschnitte, vorher 3884 mit Stand 13.10.; eine Woche Doku fehlte). Reindex-Docs.ps1 bricht unter PowerShell 5.1 ab, wenn die Fehlerausgabe umgeleitet wird (fastembed-Hinweis wird zum Fehler). Vorschlag: uv-Aufruf so kapseln, dass nur der Exitcode zaehlt; Entscheid Ingo.</t>
        </is>
      </c>
      <c r="K119" s="7" t="inlineStr"/>
      <c r="L119" s="7" t="inlineStr"/>
      <c r="M119" s="7" t="inlineStr"/>
    </row>
  </sheetData>
  <autoFilter ref="A1:M119">
    <filterColumn colId="2" hiddenButton="0" showButton="1">
      <filters>
        <filter val="Einkauf"/>
        <filter val="HR"/>
        <filter val="Logistik"/>
        <filter val="Marktsegmente"/>
        <filter val="Operations"/>
        <filter val="Persönlich"/>
        <filter val="Plattform"/>
        <filter val="Projekte"/>
        <filter val="Projektmanagement"/>
        <filter val="Railway"/>
        <filter val="SAP"/>
        <filter val="SAP Berechtigung"/>
        <filter val="SAP PPWR"/>
        <filter val="SAP ZC12"/>
        <filter val="SAP ZLO03"/>
        <filter val="SAP ZZPRDAT"/>
        <filter val="Standortdaten DE"/>
        <filter val="Standortdaten IN"/>
        <filter val="Verkauf"/>
      </filters>
    </filterColumn>
    <filterColumn colId="7" hiddenButton="0" showButton="1">
      <filters>
        <filter val="Entwurf liegt vor"/>
        <filter val="Grösstenteils erledigt"/>
        <filter val="In Arbeit"/>
        <filter val="Offen"/>
        <filter val="Terminiert"/>
        <filter val="Wartet auf DE"/>
        <filter val="Wartet auf Entscheid"/>
        <filter val="Wartet auf externe Firma"/>
        <filter val="Wartet auf Import"/>
      </filters>
    </filterColumn>
  </autoFilter>
  <pageMargins left="0.75" right="0.75" top="0.75" bottom="0.5" header="0.5" footer="0.75"/>
  <pageSetup orientation="landscape"/>
</worksheet>
</file>

<file path=xl/worksheets/sheet4.xml><?xml version="1.0" encoding="utf-8"?>
<worksheet xmlns="http://schemas.openxmlformats.org/spreadsheetml/2006/main">
  <sheetPr>
    <outlinePr summaryBelow="1" summaryRight="1"/>
    <pageSetUpPr/>
  </sheetPr>
  <dimension ref="A1:B12"/>
  <sheetViews>
    <sheetView tabSelected="0" workbookViewId="0">
      <selection activeCell="A1" sqref="A1"/>
    </sheetView>
  </sheetViews>
  <sheetFormatPr baseColWidth="10" defaultColWidth="9.140625" defaultRowHeight="15"/>
  <cols>
    <col width="22.7109375" customWidth="1" style="62" min="1" max="1"/>
    <col width="100.7109375" customWidth="1" style="7" min="2" max="2"/>
  </cols>
  <sheetData>
    <row r="1">
      <c r="A1" s="8" t="inlineStr">
        <is>
          <t>Thema</t>
        </is>
      </c>
      <c r="B1" s="9" t="inlineStr">
        <is>
          <t>Hinweis</t>
        </is>
      </c>
    </row>
    <row r="2" ht="39.95" customHeight="1" s="62">
      <c r="A2" s="10" t="inlineStr">
        <is>
          <t>Quelle</t>
        </is>
      </c>
      <c r="B2" s="7" t="inlineStr">
        <is>
          <t>projektmanagement/Wochen_Todo.tsv ist die fuehrende Fassung. Diese Arbeitsmappe wird daraus erzeugt; Aenderungen bitte im TSV nachziehen oder per Chatbefehl neu erzeugen lassen, sonst laufen beide auseinander.</t>
        </is>
      </c>
    </row>
    <row r="3" ht="39.95" customHeight="1" s="62">
      <c r="A3" s="10" t="inlineStr">
        <is>
          <t>Herkunft der Punkte</t>
        </is>
      </c>
      <c r="B3" s="7" t="inlineStr">
        <is>
          <t>Zusammengestellt aus docs/Issue_Log_Konsolidiert_2026-08-12.tsv (Finance), projektmanagement/PROJEKTSTATUS.md (PM-01 bis PM-08) und docs/AGENT_COORDINATION.md (aktuelle technische Nachweise). Keine neuen Fakten, nur eine woechentliche Priorisierung.</t>
        </is>
      </c>
    </row>
    <row r="4" ht="39.95" customHeight="1" s="62">
      <c r="A4" s="10" t="inlineStr">
        <is>
          <t>Sortieren, Filtern, Gruppieren</t>
        </is>
      </c>
      <c r="B4" s="7" t="inlineStr">
        <is>
          <t>Die Tabelle ist bewusst flach ohne verbundene Zellen aufgebaut. In Excel per Spaltenkopf-Pfeil filtern, ueber Daten &gt; Sortieren nach Bereich oder Dringlichkeit ordnen, oder ueber Daten &gt; Gliederung &gt; Teilergebnisse nach Bereich gruppieren.</t>
        </is>
      </c>
    </row>
    <row r="5" ht="39.95" customHeight="1" s="62">
      <c r="A5" s="10" t="inlineStr">
        <is>
          <t>Aktualisieren</t>
        </is>
      </c>
      <c r="B5" s="7" t="inlineStr">
        <is>
          <t>Auf Zuruf im Chat neu erzeugen lassen. Erledigte Punkte werden im TSV auf Status 'Erledigt' gesetzt und erscheinen hier durchgestrichen und gruen.</t>
        </is>
      </c>
    </row>
    <row r="6" ht="39.95" customHeight="1" s="62">
      <c r="A6" s="10" t="inlineStr">
        <is>
          <t>Farbe Dringlichkeit</t>
        </is>
      </c>
      <c r="B6" s="7" t="inlineStr">
        <is>
          <t>Heute = rot, Hoch/haengt an anderen = orange, Umsetzung = blau, Nur terminieren = grau.</t>
        </is>
      </c>
    </row>
    <row r="7" ht="39.95" customHeight="1" s="62">
      <c r="A7" s="10" t="inlineStr">
        <is>
          <t>Farbe Bereich</t>
        </is>
      </c>
      <c r="B7" s="7" t="inlineStr">
        <is>
          <t>Finance = hellblau, SAP = grau, Einkauf = gruen, Marktsegmente = violett, nur zur schnellen optischen Unterscheidung.</t>
        </is>
      </c>
    </row>
    <row r="8" ht="39.95" customHeight="1" s="62">
      <c r="A8" s="10" t="inlineStr">
        <is>
          <t>Farbe Prioritaet</t>
        </is>
      </c>
      <c r="B8" s="7" t="inlineStr">
        <is>
          <t>Hoch = rot, Mittel = orange, Niedrig = grau.</t>
        </is>
      </c>
    </row>
    <row r="9" ht="39.95" customHeight="1" s="62">
      <c r="A9" s="10" t="inlineStr">
        <is>
          <t>Farbe Status</t>
        </is>
      </c>
      <c r="B9" s="7" t="inlineStr">
        <is>
          <t>Erledigt = gruen, Laeuft = blau, Blockiert = rot, Wartet auf andere/Entscheid/Vorfrage = orange, Offen = gelb.</t>
        </is>
      </c>
    </row>
    <row r="10" ht="39.95" customHeight="1" s="62">
      <c r="A10" s="10" t="inlineStr">
        <is>
          <t>Faelligkeit</t>
        </is>
      </c>
      <c r="B10" s="7" t="inlineStr">
        <is>
          <t>Ein gepflegtes Datum wird rot und fett hervorgehoben, solange der Punkt nicht erledigt ist.</t>
        </is>
      </c>
    </row>
    <row r="11" ht="39.95" customHeight="1" s="62">
      <c r="A11" s="10" t="inlineStr">
        <is>
          <t>Kein Ersatz fuer das Issue-Log</t>
        </is>
      </c>
      <c r="B11" s="7" t="inlineStr">
        <is>
          <t>Finance-Detailstatus bleibt in docs/Issue_Log_Konsolidiert_2026-08-12.tsv fuehrend. Diese Mappe ist eine persoenliche Wochenauswahl, keine vollstaendige Zweitquelle.</t>
        </is>
      </c>
    </row>
    <row r="12" ht="39.95" customHeight="1" s="62">
      <c r="A12" s="10" t="inlineStr">
        <is>
          <t>Blatt Zusammenfassung</t>
        </is>
      </c>
      <c r="B12" s="7" t="inlineStr">
        <is>
          <t>Zeigt die uebergeordneten Projektaufgaben PM-01 bis PM-07 sowie zwei aktuelle Punkte ohne PM-Nummer, mit Fortschrittsbalken. Der Fortschritt ist eine Einschaetzung aus dem Text, keine gemessene Kennzahl, und wird nicht automatisch aus dem Wochen-Todo abgeleitet.</t>
        </is>
      </c>
    </row>
  </sheetData>
  <pageMargins left="0.75" right="0.75" top="0.75" bottom="0.5" header="0.5" footer="0.75"/>
</worksheet>
</file>

<file path=xl/worksheets/sheet5.xml><?xml version="1.0" encoding="utf-8"?>
<worksheet xmlns="http://schemas.openxmlformats.org/spreadsheetml/2006/main">
  <sheetPr>
    <outlinePr summaryBelow="1" summaryRight="1"/>
    <pageSetUpPr fitToPage="1"/>
  </sheetPr>
  <dimension ref="A1:J27"/>
  <sheetViews>
    <sheetView tabSelected="0" workbookViewId="0">
      <pane xSplit="5" ySplit="4" topLeftCell="F5" activePane="bottomRight" state="frozenSplit"/>
      <selection pane="topRight" activeCell="A1" sqref="A1"/>
      <selection pane="bottomLeft" activeCell="A1" sqref="A1"/>
      <selection pane="bottomRight" activeCell="A1" sqref="A1"/>
    </sheetView>
  </sheetViews>
  <sheetFormatPr baseColWidth="10" defaultColWidth="9.140625" defaultRowHeight="15"/>
  <cols>
    <col width="6.7109375" customWidth="1" style="62" min="1" max="1"/>
    <col width="20.7109375" customWidth="1" style="62" min="2" max="2"/>
    <col width="22.7109375" customWidth="1" style="62" min="3" max="3"/>
    <col width="13.7109375" customWidth="1" style="62" min="4" max="4"/>
    <col width="34.7109375" customWidth="1" style="62" min="5" max="5"/>
    <col width="20.7109375" customWidth="1" style="62" min="6" max="6"/>
    <col width="21.7109375" customWidth="1" style="62" min="7" max="7"/>
    <col width="62.7109375" customWidth="1" style="62" min="8" max="8"/>
    <col width="66.7109375" customWidth="1" style="62" min="9" max="9"/>
    <col width="55.7109375" customWidth="1" style="62" min="10" max="10"/>
  </cols>
  <sheetData>
    <row r="1" ht="27.95" customHeight="1" s="62">
      <c r="A1" s="85" t="inlineStr">
        <is>
          <t>Erläuterungen zu den offenen Wochen-Todos</t>
        </is>
      </c>
    </row>
    <row r="2" ht="21.95" customHeight="1" s="62">
      <c r="A2" s="86" t="inlineStr">
        <is>
          <t>Stand 04.09.2026 – nur Status ungleich „Erledigt“ – 23 Punkte</t>
        </is>
      </c>
    </row>
    <row r="4" ht="32.1" customHeight="1" s="62">
      <c r="A4" s="11" t="inlineStr">
        <is>
          <t>Nr.</t>
        </is>
      </c>
      <c r="B4" s="11" t="inlineStr">
        <is>
          <t>Dringlichkeit</t>
        </is>
      </c>
      <c r="C4" s="11" t="inlineStr">
        <is>
          <t>Bereich</t>
        </is>
      </c>
      <c r="D4" s="11" t="inlineStr">
        <is>
          <t>ID</t>
        </is>
      </c>
      <c r="E4" s="11" t="inlineStr">
        <is>
          <t>Thema</t>
        </is>
      </c>
      <c r="F4" s="11" t="inlineStr">
        <is>
          <t>Owner</t>
        </is>
      </c>
      <c r="G4" s="11" t="inlineStr">
        <is>
          <t>Status</t>
        </is>
      </c>
      <c r="H4" s="11" t="inlineStr">
        <is>
          <t>Worum geht es?</t>
        </is>
      </c>
      <c r="I4" s="11" t="inlineStr">
        <is>
          <t>Was ist zu tun / zu entscheiden?</t>
        </is>
      </c>
      <c r="J4" s="11" t="inlineStr">
        <is>
          <t>Erledigt, wenn …</t>
        </is>
      </c>
    </row>
    <row r="5" ht="15" customHeight="1" s="62">
      <c r="A5" s="12" t="inlineStr">
        <is>
          <t>3</t>
        </is>
      </c>
      <c r="B5" s="12" t="inlineStr">
        <is>
          <t>Heute</t>
        </is>
      </c>
      <c r="C5" s="12" t="inlineStr">
        <is>
          <t>SAP ZC12</t>
        </is>
      </c>
      <c r="D5" s="12" t="inlineStr">
        <is>
          <t>PM-02</t>
        </is>
      </c>
      <c r="E5" s="12" t="inlineStr">
        <is>
          <t>ZC12 Fehler bei Nullmengen</t>
        </is>
      </c>
      <c r="F5" s="12" t="inlineStr">
        <is>
          <t>Ingo</t>
        </is>
      </c>
      <c r="G5" s="13" t="inlineStr">
        <is>
          <t>Blockiert</t>
        </is>
      </c>
      <c r="H5" s="12" t="inlineStr">
        <is>
          <t>Bei Vorgabewerten von null formatiert der vermutete Report den Wert als nackte 0. CA02 kann diese BDC-Eingabe ablehnen; die betroffene Zeile wird dann mit Fehlereintrag übersprungen. Noch ist nicht bestätigt, dass die Transaktion ZC12 tatsächlich das analysierte Programm Z_ABGLEICH_KTSCH startet.</t>
        </is>
      </c>
      <c r="I5" s="12" t="inlineStr">
        <is>
          <t>Zuerst in SE93 die Zuordnung von ZC12 prüfen. Falls sie stimmt: Debug-Schalter und Tracing reaktivieren, einen Nullmengenfall reproduzieren und die SAP-Versionshistorie von fmt_quan prüfen. Erst danach den Formatierungsweg korrigieren und mit einem Null- sowie einem Normalfall testen.</t>
        </is>
      </c>
      <c r="J5" s="12" t="inlineStr">
        <is>
          <t>Die Transaktionszuordnung ist belegt, der Nullmengenfall läuft ohne stilles Überspringen durch und ein Regressionstest bestätigt, dass normale Mengen unverändert verarbeitet werden.</t>
        </is>
      </c>
    </row>
    <row r="6" ht="15" customHeight="1" s="62">
      <c r="A6" s="12" t="inlineStr">
        <is>
          <t>4</t>
        </is>
      </c>
      <c r="B6" s="12" t="inlineStr">
        <is>
          <t>Hoch, haengt an anderen</t>
        </is>
      </c>
      <c r="C6" s="12" t="inlineStr">
        <is>
          <t>Finance FR</t>
        </is>
      </c>
      <c r="D6" s="12" t="inlineStr">
        <is>
          <t>ISS-001.2</t>
        </is>
      </c>
      <c r="E6" s="12" t="inlineStr">
        <is>
          <t>Datenzufluss TR FR</t>
        </is>
      </c>
      <c r="F6" s="12" t="inlineStr">
        <is>
          <t>Frankreich / Ingo</t>
        </is>
      </c>
      <c r="G6" s="14" t="inlineStr">
        <is>
          <t>Wartet auf andere</t>
        </is>
      </c>
      <c r="H6" s="12" t="inlineStr">
        <is>
          <t>Die französische B1-Quelle enthält seit 30.07.2026 keine neuen Rechnungen oder Lieferscheine, obwohl Aufträge und Wareneingänge weiterlaufen. Die Anwendung exportiert täglich, wiederholt dabei aber nur den alten Stand; die Ursache liegt deshalb im französischen Ausgangs- oder Fakturaprozess.</t>
        </is>
      </c>
      <c r="I6" s="12" t="inlineStr">
        <is>
          <t>Frankreich gezielt fragen, warum Lieferung und Faktura am selben Tag endeten und wann der Rückstand verbucht wird. Den ersten neuen Lauf anschließend auf August-Nachbuchungen und eine plausible Belegfolge prüfen.</t>
        </is>
      </c>
      <c r="J6" s="12" t="inlineStr">
        <is>
          <t>Neue französische Fakturen fließen wieder ein und der Rückstand ist entweder nachgebucht oder von Finance ausdrücklich als nicht vorhanden bestätigt.</t>
        </is>
      </c>
    </row>
    <row r="7" ht="15" customHeight="1" s="62">
      <c r="A7" s="12" t="inlineStr">
        <is>
          <t>5</t>
        </is>
      </c>
      <c r="B7" s="12" t="inlineStr">
        <is>
          <t>Hoch, haengt an anderen</t>
        </is>
      </c>
      <c r="C7" s="12" t="inlineStr">
        <is>
          <t>Finance CH/AT</t>
        </is>
      </c>
      <c r="D7" s="12" t="inlineStr">
        <is>
          <t>ISS-003.4</t>
        </is>
      </c>
      <c r="E7" s="12" t="inlineStr">
        <is>
          <t>Herstellerregel CH/AT</t>
        </is>
      </c>
      <c r="F7" s="12" t="inlineStr">
        <is>
          <t>Andreas</t>
        </is>
      </c>
      <c r="G7" s="14" t="inlineStr">
        <is>
          <t>Wartet auf Entscheid</t>
        </is>
      </c>
      <c r="H7" s="12" t="inlineStr">
        <is>
          <t>CH/AT liefern keinen Vorlieferanten. Die Anwendung ordnet Materialien deshalb über MARC/Werk 1100 als intern beziehungsweise TR AG ein. Für rund 5’886 Zeilen gibt es zugleich einen aktiven externen Einkaufsbeleg; offen ist, ob dieser Fremdbezug die pauschale Herstellerregel brechen soll.</t>
        </is>
      </c>
      <c r="I7" s="12" t="inlineStr">
        <is>
          <t>Andreas entscheidet zwischen zwei Regeln: Herstellerregel beibehalten oder bei belegtem Fremdbezug auf extern/lokale Kosten wechseln. Dazu die Stichprobe, besonders F88103 und R13025, und den produktiven Schalter MarcForeignProcurementMode vergleichen. Keine 1’201 Materialien einzeln klassifizieren.</t>
        </is>
      </c>
      <c r="J7" s="12" t="inlineStr">
        <is>
          <t>Andreas hat die Regel schriftlich bestätigt, der entsprechende Schalter ist gesetzt und Stichproben zeigen die erwartete Kostenquelle für Eigenfertigung und Handelsware.</t>
        </is>
      </c>
    </row>
    <row r="8" ht="15" customHeight="1" s="62">
      <c r="A8" s="12" t="inlineStr">
        <is>
          <t>6</t>
        </is>
      </c>
      <c r="B8" s="12" t="inlineStr">
        <is>
          <t>Hoch, haengt an anderen</t>
        </is>
      </c>
      <c r="C8" s="12" t="inlineStr">
        <is>
          <t>Finance Gruppenmarge</t>
        </is>
      </c>
      <c r="D8" s="12" t="inlineStr">
        <is>
          <t>ISS-009</t>
        </is>
      </c>
      <c r="E8" s="12" t="inlineStr">
        <is>
          <t>Fachfreigabe Gruppenmarge</t>
        </is>
      </c>
      <c r="F8" s="12" t="inlineStr">
        <is>
          <t>Andreas</t>
        </is>
      </c>
      <c r="G8" s="15" t="inlineStr">
        <is>
          <t>Offen</t>
        </is>
      </c>
      <c r="H8" s="12" t="inlineStr">
        <is>
          <t>Die Gruppenmarge ist technisch vorhanden, bleibt aber eine Prüfsicht. Sie verwendet den Umsatz und die echten Konzern-Herstellkosten der liefernden Gesellschaft. Offene Lieferanten-, Kostenbasis- und Intercompany-Fragen können das Ergebnis noch beeinflussen.</t>
        </is>
      </c>
      <c r="I8" s="12" t="inlineStr">
        <is>
          <t>Andreas prüft anhand des Nachweisblatts Gruppenmarge Details die Klassifikation, Kostenquelle, Währung und offenen Statusfälle. Danach entweder ausdrücklich als führenden Abschlusswert freigeben oder konkrete verbleibende Vorbehalte mit Prüfkriterium nennen.</t>
        </is>
      </c>
      <c r="J8" s="12" t="inlineStr">
        <is>
          <t>Eine dokumentierte Finance-Freigabe liegt vor oder alle benannten Vorbehalte sind als eigene, messbare Folgepunkte erfasst; bis dahin bleibt die Kennzahl als Prüfsicht bezeichnet.</t>
        </is>
      </c>
    </row>
    <row r="9" ht="15" customHeight="1" s="62">
      <c r="A9" s="12" t="inlineStr">
        <is>
          <t>7</t>
        </is>
      </c>
      <c r="B9" s="12" t="inlineStr">
        <is>
          <t>Hoch, haengt an anderen</t>
        </is>
      </c>
      <c r="C9" s="12" t="inlineStr">
        <is>
          <t>Finance Abgrenzung</t>
        </is>
      </c>
      <c r="D9" s="12" t="inlineStr">
        <is>
          <t>ISS-010</t>
        </is>
      </c>
      <c r="E9" s="12" t="inlineStr">
        <is>
          <t>Innenumsatz / Doppelzählung</t>
        </is>
      </c>
      <c r="F9" s="12" t="inlineStr">
        <is>
          <t>Andreas</t>
        </is>
      </c>
      <c r="G9" s="15" t="inlineStr">
        <is>
          <t>Offen</t>
        </is>
      </c>
      <c r="H9" s="12" t="inlineStr">
        <is>
          <t>Verkauft eine Trafag-Gesellschaft an eine andere und diese anschließend an den Endkunden, erscheinen in der Summe der Standortumsätze beide Verkäufe. Das ist für eine Standort-Bruttosicht korrekt, für einen konsolidierten Konzern-Außenumsatz jedoch eine Doppelzählung.</t>
        </is>
      </c>
      <c r="I9" s="12" t="inlineStr">
        <is>
          <t>Andreas entscheidet, ob die führende KPI Standortumsätze inklusive IC oder den konsolidierten Außenumsatz zeigen soll. Falls konsolidiert: Konsolidierungskreis und 2nd Party festlegen, interne Kundennummern/Namensmarker bestätigen, Ausnahmen definieren und entscheiden, ob Ist ohne IC den Sollvergleich führt. Die einzelnen DE-/IT-Ausschlüsse dabei vereinheitlichen.</t>
        </is>
      </c>
      <c r="J9" s="12" t="inlineStr">
        <is>
          <t>Die offizielle Umsatzdefinition und der Konsolidierungskreis sind dokumentiert; Dashboard-Hauptwert, Ist ohne IC und Sollvergleich folgen derselben freigegebenen Regel.</t>
        </is>
      </c>
    </row>
    <row r="10" ht="15" customHeight="1" s="62">
      <c r="A10" s="12" t="inlineStr">
        <is>
          <t>9</t>
        </is>
      </c>
      <c r="B10" s="12" t="inlineStr">
        <is>
          <t>Heute</t>
        </is>
      </c>
      <c r="C10" s="12" t="inlineStr">
        <is>
          <t>SAP ZLO03</t>
        </is>
      </c>
      <c r="D10" s="12" t="inlineStr">
        <is>
          <t>PM-01</t>
        </is>
      </c>
      <c r="E10" s="12" t="inlineStr">
        <is>
          <t>ZLO03 Mengen und Materialien</t>
        </is>
      </c>
      <c r="F10" s="12" t="inlineStr">
        <is>
          <t>Ingo</t>
        </is>
      </c>
      <c r="G10" s="15" t="inlineStr">
        <is>
          <t>Offen</t>
        </is>
      </c>
      <c r="H10" s="12" t="inlineStr">
        <is>
          <t>Die Korrekturen für falsche Mengeninterpretation und fehlende numerische Materialien sind geschrieben, aber die produktive Transaktion ZLO03 startet ein anderes Programm. Damit sind die neuen Fixes im laufenden Prozess noch nicht wirksam.</t>
        </is>
      </c>
      <c r="I10" s="12" t="inlineStr">
        <is>
          <t>Den Diagnoselauf p_diag und den Regressionstest im tatsächlich gestarteten Programm Z_ZLO03_TURBO2 durchführen. Danach die freigegebenen Fixes in dieses Programm übernehmen beziehungsweise transportieren und auf B76 erneut gegen bekannte Fälle prüfen.</t>
        </is>
      </c>
      <c r="J10" s="12" t="inlineStr">
        <is>
          <t>ZLO03 läuft mit dem korrigierten produktiven Programm; Mengen und Materialien stimmen in der Regression und der Transport nach B76 ist nachgewiesen.</t>
        </is>
      </c>
    </row>
    <row r="11" ht="15" customHeight="1" s="62">
      <c r="A11" s="12" t="inlineStr">
        <is>
          <t>10</t>
        </is>
      </c>
      <c r="B11" s="12" t="inlineStr">
        <is>
          <t>Heute</t>
        </is>
      </c>
      <c r="C11" s="12" t="inlineStr">
        <is>
          <t>SAP ZLO03</t>
        </is>
      </c>
      <c r="D11" s="12" t="inlineStr">
        <is>
          <t>PM-01</t>
        </is>
      </c>
      <c r="E11" s="12" t="inlineStr">
        <is>
          <t>ZLO03 Kommunikationspflicht</t>
        </is>
      </c>
      <c r="F11" s="12" t="inlineStr">
        <is>
          <t>Ingo</t>
        </is>
      </c>
      <c r="G11" s="15" t="inlineStr">
        <is>
          <t>Offen</t>
        </is>
      </c>
      <c r="H11" s="12" t="inlineStr">
        <is>
          <t>Die Spalte Exklusiv erhält künftig neben leer und X auch den Wert ?. Er bedeutet, dass die Exklusivität mit den vorhandenen Daten nicht sicher entschieden werden kann. Eine Fehlinterpretation als X könnte zur Kündigung eines noch benötigten Mengenkontrakts führen.</t>
        </is>
      </c>
      <c r="I11" s="12" t="inlineStr">
        <is>
          <t>Ann-Katrin Michel vor dem produktiven Einsatz über den dritten Wert, seine Bedeutung und das richtige Vorgehen bei ? informieren. Die Information soll vor der nächsten operativen Auswertung erfolgen.</t>
        </is>
      </c>
      <c r="J11" s="12" t="inlineStr">
        <is>
          <t>Ann-Katrin hat die Änderung bestätigt und weiß, dass ? manuell geprüft werden muss und nicht wie X behandelt werden darf.</t>
        </is>
      </c>
    </row>
    <row r="12" ht="15" customHeight="1" s="62">
      <c r="A12" s="12" t="inlineStr">
        <is>
          <t>12</t>
        </is>
      </c>
      <c r="B12" s="12" t="inlineStr">
        <is>
          <t>Heute</t>
        </is>
      </c>
      <c r="C12" s="12" t="inlineStr">
        <is>
          <t>SAP ZZPRDAT</t>
        </is>
      </c>
      <c r="D12" s="12" t="inlineStr">
        <is>
          <t>PM-03</t>
        </is>
      </c>
      <c r="E12" s="12" t="inlineStr">
        <is>
          <t>ZZPRDAT Abnahme einholen</t>
        </is>
      </c>
      <c r="F12" s="12" t="inlineStr">
        <is>
          <t>Ingo</t>
        </is>
      </c>
      <c r="G12" s="15" t="inlineStr">
        <is>
          <t>Läuft</t>
        </is>
      </c>
      <c r="H12" s="12" t="inlineStr">
        <is>
          <t>Die Lösung ist am 03. und 04.09.2026 gebaut, im Paket ZPP1 und im Transportauftrag T76K912490 abgelegt und auf sieben Wegen nachgetestet. Trigger und Quellfeld GLTRP sind geklärt. Offen ist nur noch die fachliche Abnahme; der Auftrag bleibt bis dahin bewusst unfreigegeben, damit der Fachbereich genau die Objekte abnimmt, die später ausgeliefert werden.</t>
        </is>
      </c>
      <c r="I12" s="12" t="inlineStr">
        <is>
          <t>Das Anschreiben liegt als Outlook-Entwurf mit Betreff und angehängtem Lösungsdokument. Vor dem Versand die Empfängeradressen eintragen (für Lucas Castro, Florian Wächter, Marco Di Menco und Fabio Palma in docs/ANSPRECHPARTNER.md nicht hinterlegt) und den Text aus docs/ZZPRDAT_Mail_Abnahme_2026-09-04.html hineinkopieren, weil Outlook an diesem Arbeitsplatz jede Zuweisung an den Nachrichtentext verwirft.</t>
        </is>
      </c>
      <c r="J12" s="12" t="inlineStr">
        <is>
          <t>Die fachliche Abnahme liegt schriftlich vor und Marco hat bestätigt, ob Etikett und Typenschild dasselbe Feld verwenden. Erst danach wird der Auftrag freigegeben; das Nachfüllen der Altbestände ist ein eigener, später zu entscheidender Schritt.</t>
        </is>
      </c>
    </row>
    <row r="13" ht="15" customHeight="1" s="62">
      <c r="A13" s="12" t="inlineStr">
        <is>
          <t>13</t>
        </is>
      </c>
      <c r="B13" s="12" t="inlineStr">
        <is>
          <t>Umsetzung</t>
        </is>
      </c>
      <c r="C13" s="12" t="inlineStr">
        <is>
          <t>Finance DE/ES</t>
        </is>
      </c>
      <c r="D13" s="12" t="inlineStr">
        <is>
          <t>ISS-003.3</t>
        </is>
      </c>
      <c r="E13" s="12" t="inlineStr">
        <is>
          <t>DE/ES ohne Lieferantenfelder</t>
        </is>
      </c>
      <c r="F13" s="12" t="inlineStr">
        <is>
          <t>Ingo</t>
        </is>
      </c>
      <c r="G13" s="15" t="inlineStr">
        <is>
          <t>Offen</t>
        </is>
      </c>
      <c r="H13" s="12" t="inlineStr">
        <is>
          <t>Deutschland und Spanien zeigen in allen Lieferantenfeldern 0 %. Das kann eine echte Quelllücke sein, aber UK hat gezeigt, dass vorhandene Lieferantenspalten auch nur im eigenen Mapping fehlen können. Eine vorschnelle Standortanfrage würde deshalb möglicherweise unnötige Pflege auslösen.</t>
        </is>
      </c>
      <c r="I13" s="12" t="inlineStr">
        <is>
          <t>Für DE und ES zuerst Export-SQL, Rohdatei und Import-Mapping spaltenweise vergleichen. Nur wenn die Quelle das Feld tatsächlich nicht liefert, mit einem konkreten Feldbedarf an den jeweiligen Standort gehen.</t>
        </is>
      </c>
      <c r="J13" s="12" t="inlineStr">
        <is>
          <t>Für beide Länder ist belegt, ob die Information in der Quelle existiert; vorhandene Felder sind gemappt oder eine echte Quelllücke ist mit Ansprechpartner und vereinbartem nächsten Schritt dokumentiert.</t>
        </is>
      </c>
    </row>
    <row r="14" ht="15" customHeight="1" s="62">
      <c r="A14" s="12" t="inlineStr">
        <is>
          <t>15</t>
        </is>
      </c>
      <c r="B14" s="12" t="inlineStr">
        <is>
          <t>Umsetzung</t>
        </is>
      </c>
      <c r="C14" s="12" t="inlineStr">
        <is>
          <t>Finance CH/AT</t>
        </is>
      </c>
      <c r="D14" s="12" t="inlineStr">
        <is>
          <t>ISS-006</t>
        </is>
      </c>
      <c r="E14" s="12" t="inlineStr">
        <is>
          <t>CH/AT Journal, SAP-Set aktivieren</t>
        </is>
      </c>
      <c r="F14" s="12" t="inlineStr">
        <is>
          <t>SAP / Ingo</t>
        </is>
      </c>
      <c r="G14" s="15" t="inlineStr">
        <is>
          <t>Offen</t>
        </is>
      </c>
      <c r="H14" s="12" t="inlineStr">
        <is>
          <t>Das CH/AT-Journal ist in der Anwendung vorbereitet, erhält aber ohne das SAP-OData-EntitySet FinanzJournalSet keine Daten. Die Spezifikation ist vorhanden; offen ist nur die Aktivierung im SAP-System.</t>
        </is>
      </c>
      <c r="I14" s="12" t="inlineStr">
        <is>
          <t>EntitySet in SAP aktivieren. Anschließend produktives $metadata und mindestens eine echte Datenantwort prüfen, danach einen Journal-Import und die Anzeige für CH/AT kontrollieren.</t>
        </is>
      </c>
      <c r="J14" s="12" t="inlineStr">
        <is>
          <t>FinanzJournalSet liefert produktiv HTTP 200 mit den erwarteten Feldern und das CH/AT-Journal zeigt einen erfolgreich importierten, plausiblen Datenbestand.</t>
        </is>
      </c>
    </row>
    <row r="15" ht="15" customHeight="1" s="62">
      <c r="A15" s="12" t="inlineStr">
        <is>
          <t>16</t>
        </is>
      </c>
      <c r="B15" s="12" t="inlineStr">
        <is>
          <t>Umsetzung</t>
        </is>
      </c>
      <c r="C15" s="12" t="inlineStr">
        <is>
          <t>Einkauf</t>
        </is>
      </c>
      <c r="D15" s="12" t="inlineStr">
        <is>
          <t>PM-04</t>
        </is>
      </c>
      <c r="E15" s="12" t="inlineStr">
        <is>
          <t>Einkauf Restpunkte SAP</t>
        </is>
      </c>
      <c r="F15" s="12" t="inlineStr">
        <is>
          <t>Ingo</t>
        </is>
      </c>
      <c r="G15" s="15" t="inlineStr">
        <is>
          <t>Offen</t>
        </is>
      </c>
      <c r="H15" s="12" t="inlineStr">
        <is>
          <t>Die SAP-basierte Produktgruppenlogik im Einkaufsdashboard läuft produktiv. Zwei nicht blockierende Stammdaten-/Metadatenpunkte bleiben: D1 und D5 haben keinen Text, und DISPO ist allein kein eindeutiger Schlüssel.</t>
        </is>
      </c>
      <c r="I15" s="12" t="inlineStr">
        <is>
          <t>Texte für D1/D5 in ZDISPO_SPART pflegen und den SEGW-Schlüssel von ZDISPO_GRP auf DISPO_KZ plus DISPO erweitern. Danach Metadaten, OData-Antwort und Delta-Lauf prüfen.</t>
        </is>
      </c>
      <c r="J15" s="12" t="inlineStr">
        <is>
          <t>D1/D5 werden mit Text angezeigt, der zusammengesetzte Schlüssel ist im produktiven Metadata sichtbar und alle Gruppen werden ohne Überschreiben oder Duplikate geladen.</t>
        </is>
      </c>
    </row>
    <row r="16" ht="15" customHeight="1" s="62">
      <c r="A16" s="12" t="inlineStr">
        <is>
          <t>17</t>
        </is>
      </c>
      <c r="B16" s="12" t="inlineStr">
        <is>
          <t>Umsetzung</t>
        </is>
      </c>
      <c r="C16" s="12" t="inlineStr">
        <is>
          <t>Marktsegmente</t>
        </is>
      </c>
      <c r="D16" s="12" t="inlineStr">
        <is>
          <t>-</t>
        </is>
      </c>
      <c r="E16" s="12" t="inlineStr">
        <is>
          <t>Sichtprüfläufe produktiv nachholen</t>
        </is>
      </c>
      <c r="F16" s="12" t="inlineStr">
        <is>
          <t>Ingo</t>
        </is>
      </c>
      <c r="G16" s="15" t="inlineStr">
        <is>
          <t>Offen</t>
        </is>
      </c>
      <c r="H16" s="12" t="inlineStr">
        <is>
          <t>Drei bereits produktiv ausgelieferte Marktsegment-Funktionen wurden technisch geprüft, aber noch nicht von einem Anwender im Browser abgenommen: Segmentanzeige, Marktumfrage und Jahresfilter.</t>
        </is>
      </c>
      <c r="I16" s="12" t="inlineStr">
        <is>
          <t>Die drei Funktionen im produktiven System mit realistischen Filtern öffnen, Werte und Navigation plausibilisieren und auffällige Abweichungen mit Screenshot beziehungsweise konkretem Datensatz notieren.</t>
        </is>
      </c>
      <c r="J16" s="12" t="inlineStr">
        <is>
          <t>Alle drei Sichtprüfläufe sind dokumentiert bestanden oder gefundene Fehler wurden als eigene Punkte mit Reproduktionsschritten erfasst.</t>
        </is>
      </c>
    </row>
    <row r="17" ht="15" customHeight="1" s="62">
      <c r="A17" s="12" t="inlineStr">
        <is>
          <t>19</t>
        </is>
      </c>
      <c r="B17" s="12" t="inlineStr">
        <is>
          <t>Nur terminieren</t>
        </is>
      </c>
      <c r="C17" s="12" t="inlineStr">
        <is>
          <t>Finance IT</t>
        </is>
      </c>
      <c r="D17" s="12" t="inlineStr">
        <is>
          <t>ISS-007.1</t>
        </is>
      </c>
      <c r="E17" s="12" t="inlineStr">
        <is>
          <t>TR IT Moving Average: technisch nicht umstellbar</t>
        </is>
      </c>
      <c r="F17" s="12" t="inlineStr">
        <is>
          <t>Andreas / Ingo</t>
        </is>
      </c>
      <c r="G17" s="15" t="inlineStr">
        <is>
          <t>Wartet auf Entscheid</t>
        </is>
      </c>
      <c r="H17" s="12" t="inlineStr">
        <is>
          <t>Paola Castagna hat am 04.09.2026 geantwortet: die Bewertungsmethode eines bestehenden B1-Artikels lässt sich nicht mehr ändern, weder als Massenupdate noch artikelweise. Eine Angleichung an die Konzernvorgabe ginge nur als Neucodierungsprojekt über rund 31'600 Artikel, samt neuer technischer Zeichnungen bei allen Lieferanten. Eine Kostenschätzung liegt nicht vor.</t>
        </is>
      </c>
      <c r="I17" s="12" t="inlineStr">
        <is>
          <t>Andreas beurteilt, wie notwendig und dringend die Angleichung aus Konzernsicht ist. Parallel die Wirkung auf die Intercompany-Artikel von Trafag und Industrial Components mit Lucas Castro bewerten. Das Reporting ist nicht betroffen, weil INV1.StockPrice auf Belegebene unabhängig von der Bewertungsmethode arbeitet.</t>
        </is>
      </c>
      <c r="J17" s="12" t="inlineStr">
        <is>
          <t>Andreas hat entschieden, ob das Neucodierungsprojekt verfolgt wird; bei Ja liegt eine Kostenschätzung aus Italien vor, bei Nein ist die Abweichung von der Konzernvorgabe schriftlich akzeptiert.</t>
        </is>
      </c>
    </row>
    <row r="18" ht="15" customHeight="1" s="62">
      <c r="A18" s="12" t="inlineStr">
        <is>
          <t>21</t>
        </is>
      </c>
      <c r="B18" s="12" t="inlineStr">
        <is>
          <t>Nur terminieren</t>
        </is>
      </c>
      <c r="C18" s="12" t="inlineStr">
        <is>
          <t>Finance Reporting</t>
        </is>
      </c>
      <c r="D18" s="12" t="inlineStr">
        <is>
          <t>ISS-008</t>
        </is>
      </c>
      <c r="E18" s="12" t="inlineStr">
        <is>
          <t>Budget-CHF als Reportinggrösse</t>
        </is>
      </c>
      <c r="F18" s="12" t="inlineStr">
        <is>
          <t>Finance / Andreas</t>
        </is>
      </c>
      <c r="G18" s="15" t="inlineStr">
        <is>
          <t>Offen</t>
        </is>
      </c>
      <c r="H18" s="12" t="inlineStr">
        <is>
          <t>Budget-CHF soll eine zusätzliche Kontrollsicht sein und die führenden Local-Currency-Werte nicht ersetzen. Offen sind die verbindlichen Jahreskurse und deren Freigabe, Pflegeverantwortung, Spaltenumfang, Verhalten bei fehlenden Kursen, Rundung und Anzeigeort.</t>
        </is>
      </c>
      <c r="I18" s="12" t="inlineStr">
        <is>
          <t>Finance bestätigt die Budgetkurse 2025/2026 und den Owner, wählt die sichtbaren Excel-/Dashboard-Spalten, legt das Fehlkursverhalten und die Rundung fest und bestimmt die Ansichten. Zusätzlich DE-Jahreswechsel und gewünschten Kontrollnachweis klären.</t>
        </is>
      </c>
      <c r="J18" s="12" t="inlineStr">
        <is>
          <t>Ein freigegebener Beschluss mit Kursen, Owner, Pflegeprozess, Fehlkursregel, Rundung und Anzeigeorten liegt vor; erst dann wird die Reporting-Sicht umgesetzt beziehungsweise abgenommen.</t>
        </is>
      </c>
    </row>
    <row r="19" ht="15" customHeight="1" s="62">
      <c r="A19" s="12" t="inlineStr">
        <is>
          <t>22</t>
        </is>
      </c>
      <c r="B19" s="12" t="inlineStr">
        <is>
          <t>Nur terminieren</t>
        </is>
      </c>
      <c r="C19" s="12" t="inlineStr">
        <is>
          <t>HR</t>
        </is>
      </c>
      <c r="D19" s="12" t="inlineStr">
        <is>
          <t>PM-07</t>
        </is>
      </c>
      <c r="E19" s="12" t="inlineStr">
        <is>
          <t>REXX automatische Auswertung</t>
        </is>
      </c>
      <c r="F19" s="12" t="inlineStr">
        <is>
          <t>Ingo</t>
        </is>
      </c>
      <c r="G19" s="14" t="inlineStr">
        <is>
          <t>Wartet auf externe Firma</t>
        </is>
      </c>
      <c r="H19" s="12" t="inlineStr">
        <is>
          <t>Das HR-Cockpit verarbeitet bisher einen einmaligen manuellen REXX-Datenstand. Eine externe Firma baut einen periodischen Exporter; ohne dessen Ablagepfad, Format und Frequenz kann die automatische Auswertung nicht belastbar angebunden werden.</t>
        </is>
      </c>
      <c r="I19" s="12" t="inlineStr">
        <is>
          <t>Fertigstellung des externen Exporters abwarten und danach Schnittstelle, Dateinamensschema, Format, Aktualisierungsrhythmus, Datenschutz/Berechtigungen und Fehlerverhalten dokumentieren. Anschließend Import und Aktualisierung planen.</t>
        </is>
      </c>
      <c r="J19" s="12" t="inlineStr">
        <is>
          <t>Ein stabiler Testexport samt Schnittstellenbeschreibung liegt vor und das HR-Cockpit verarbeitet einen neuen Lauf automatisch mit plausibler Aktualisierungs- und Fehleranzeige.</t>
        </is>
      </c>
    </row>
    <row r="20" ht="15" customHeight="1" s="62">
      <c r="A20" s="12" t="inlineStr">
        <is>
          <t>23</t>
        </is>
      </c>
      <c r="B20" s="12" t="inlineStr">
        <is>
          <t>Heute</t>
        </is>
      </c>
      <c r="C20" s="12" t="inlineStr">
        <is>
          <t>Einkauf</t>
        </is>
      </c>
      <c r="D20" s="12" t="inlineStr">
        <is>
          <t>-</t>
        </is>
      </c>
      <c r="E20" s="12" t="inlineStr">
        <is>
          <t>Lagerwert Einkaufsteile</t>
        </is>
      </c>
      <c r="F20" s="12" t="inlineStr">
        <is>
          <t>Ingo</t>
        </is>
      </c>
      <c r="G20" s="16" t="inlineStr">
        <is>
          <t>Teil umgesetzt, Nachweis offen</t>
        </is>
      </c>
      <c r="H20" s="12" t="inlineStr">
        <is>
          <t>Der Lagerwert für Einkaufsteile ist technisch teilweise umgesetzt und nutzt die Disponenten 001 bis 005. Die Zahl ist noch nicht fachlich freigegeben, weil der Abgleich gegen SAP MB5L und der vollständige produktive Datenlauf fehlen.</t>
        </is>
      </c>
      <c r="I20" s="12" t="inlineStr">
        <is>
          <t>MB5L für denselben Stichtag und Bewertungsumfang gegen die Dashboard-Summe abgleichen. Danach den serverseitigen Einkauf-Lauf ausführen und die Kette SAP-Quelle, Cache und Anzeige mit Summen und Zeitstempeln nachweisen.</t>
        </is>
      </c>
      <c r="J20" s="12" t="inlineStr">
        <is>
          <t>MB5L und Dashboard stimmen für den vereinbarten Umfang nachvollziehbar überein und ein erfolgreicher produktiver Lauf belegt die vollständige Datenkette.</t>
        </is>
      </c>
    </row>
    <row r="21" ht="15" customHeight="1" s="62">
      <c r="A21" s="12" t="inlineStr">
        <is>
          <t>24</t>
        </is>
      </c>
      <c r="B21" s="12" t="inlineStr">
        <is>
          <t>Heute</t>
        </is>
      </c>
      <c r="C21" s="12" t="inlineStr">
        <is>
          <t>Railway</t>
        </is>
      </c>
      <c r="D21" s="12" t="inlineStr">
        <is>
          <t>PM-08</t>
        </is>
      </c>
      <c r="E21" s="12" t="inlineStr">
        <is>
          <t>Railway Kundenname Deutschland</t>
        </is>
      </c>
      <c r="F21" s="12" t="inlineStr">
        <is>
          <t>Ingo</t>
        </is>
      </c>
      <c r="G21" s="13" t="inlineStr">
        <is>
          <t>Blockiert</t>
        </is>
      </c>
      <c r="H21" s="12" t="inlineStr">
        <is>
          <t>Alle deutschen Verkaufszeilen enthalten Kundennummern, aber weder Kundenname noch Kundenland. Dadurch kann das Railway-Segment für Deutschland nicht über die Marktumfrage zugeordnet werden; eine Null im Export wäre irreführend.</t>
        </is>
      </c>
      <c r="I21" s="12" t="inlineStr">
        <is>
          <t>Auf dem Alphaplan-System einen read-only INFORMATION_SCHEMA-Auszug für Adress-, Kunden- und Rechnungsbezug holen. Danach die reale Beziehung von RechnungsAdressenID zum Kundennamen in der eigenen Export-SQL ergänzen; keine Tabellen- oder Feldnamen raten.</t>
        </is>
      </c>
      <c r="J21" s="12" t="inlineStr">
        <is>
          <t>TRDE liefert Kundennamen, der Railway-Abgleich erzeugt deutsche Vorschläge und Stichproben verbinden Kundennummer, Name und Umsatz korrekt.</t>
        </is>
      </c>
    </row>
    <row r="22" ht="15" customHeight="1" s="62">
      <c r="A22" s="12" t="inlineStr">
        <is>
          <t>25</t>
        </is>
      </c>
      <c r="B22" s="12" t="inlineStr">
        <is>
          <t>Heute</t>
        </is>
      </c>
      <c r="C22" s="12" t="inlineStr">
        <is>
          <t>Railway</t>
        </is>
      </c>
      <c r="D22" s="12" t="inlineStr">
        <is>
          <t>PM-08</t>
        </is>
      </c>
      <c r="E22" s="12" t="inlineStr">
        <is>
          <t>Railway Zuordnung prüfen lassen</t>
        </is>
      </c>
      <c r="F22" s="12" t="inlineStr">
        <is>
          <t>Patrik</t>
        </is>
      </c>
      <c r="G22" s="15" t="inlineStr">
        <is>
          <t>Offen</t>
        </is>
      </c>
      <c r="H22" s="12" t="inlineStr">
        <is>
          <t>Die Anwendung hat 173 Railway-Kundenvorschläge erzeugt, aber noch keiner ist fachlich bestätigt. Unbestätigte Vorschläge fließen bewusst nicht in den Umsatz ein; besonders breit tätige Kunden wie Siemens benötigen Vertriebswissen.</t>
        </is>
      </c>
      <c r="I22" s="12" t="inlineStr">
        <is>
          <t>Patrik prüft zuerst die 30 mengenstärksten Vorschläge, bestätigt oder verwirft sie und entscheidet Zweifelsfälle anhand der tatsächlichen Kundenanwendung. Alternativ pflegt er die Zuordnung direkt selbst.</t>
        </is>
      </c>
      <c r="J22" s="12" t="inlineStr">
        <is>
          <t>Die priorisierten Vorschläge sind fachlich bewertet und die bestätigten Kunden erscheinen mit nachvollziehbarem Railway-Umsatz im Ergebnis.</t>
        </is>
      </c>
    </row>
    <row r="23" ht="15" customHeight="1" s="62">
      <c r="A23" s="12" t="inlineStr">
        <is>
          <t>26</t>
        </is>
      </c>
      <c r="B23" s="12" t="inlineStr">
        <is>
          <t>Nur terminieren</t>
        </is>
      </c>
      <c r="C23" s="12" t="inlineStr">
        <is>
          <t>Railway</t>
        </is>
      </c>
      <c r="D23" s="12" t="inlineStr">
        <is>
          <t>PM-08</t>
        </is>
      </c>
      <c r="E23" s="12" t="inlineStr">
        <is>
          <t>Railway Export für Rohail Munir</t>
        </is>
      </c>
      <c r="F23" s="12" t="inlineStr">
        <is>
          <t>Ingo</t>
        </is>
      </c>
      <c r="G23" s="14" t="inlineStr">
        <is>
          <t>Wartet auf andere</t>
        </is>
      </c>
      <c r="H23" s="12" t="inlineStr">
        <is>
          <t>Rohail Munir benötigt den Railway-Export bis 08.09.2026. Das Exportwerkzeug ist produktiv, aber ohne bestätigte Kundenzuordnungen bleibt das Ergebnis leer; Deutschland ist zusätzlich wegen fehlender Kundennamen blockiert.</t>
        </is>
      </c>
      <c r="I23" s="12" t="inlineStr">
        <is>
          <t>Nach Patriks Bestätigung den Excel-Export erzeugen und die Summen je Land prüfen. Falls Deutschland bis zum Termin nicht lösbar ist, die Lücke sichtbar im Export und in der Übergabe benennen statt still null Umsatz auszuweisen.</t>
        </is>
      </c>
      <c r="J23" s="12" t="inlineStr">
        <is>
          <t>Rohail erhält bis zum Termin eine geprüfte Datei mit bestätigten Zuordnungen und einem transparenten Hinweis zu jeder verbleibenden Datenlücke, insbesondere Deutschland.</t>
        </is>
      </c>
    </row>
    <row r="24" ht="15" customHeight="1" s="62">
      <c r="A24" s="12" t="inlineStr">
        <is>
          <t>28</t>
        </is>
      </c>
      <c r="B24" s="12" t="inlineStr">
        <is>
          <t>Umsetzung</t>
        </is>
      </c>
      <c r="C24" s="12" t="inlineStr">
        <is>
          <t>Finance Standardkosten</t>
        </is>
      </c>
      <c r="D24" s="12" t="inlineStr">
        <is>
          <t>-</t>
        </is>
      </c>
      <c r="E24" s="12" t="inlineStr">
        <is>
          <t>Arbeitsmappe Standortkosten auf den Sitzungsstand bringen</t>
        </is>
      </c>
      <c r="F24" s="12" t="inlineStr">
        <is>
          <t>Ingo</t>
        </is>
      </c>
      <c r="G24" s="15" t="inlineStr">
        <is>
          <t>Offen</t>
        </is>
      </c>
      <c r="H24" s="12" t="inlineStr">
        <is>
          <t>Die Arbeitsmappe zur Standortkostenlogik entspricht noch nicht vollständig dem in der Sitzung bestätigten Ablauf. Sales Type, der Weg ohne Lieferant und die Währungsbehandlung sind darin nicht an der richtigen Stelle beziehungsweise fehlen.</t>
        </is>
      </c>
      <c r="I24" s="12" t="inlineStr">
        <is>
          <t>Sales Type in den oberen Entscheidungsblock verschieben, den Zweig ohne Lieferant und die Währungszeile ergänzen und gegen das aktuelle Workflow-SVG prüfen. Danach Sales_All neu erzeugen und Beispiele gegen Gruppenmarge Details vergleichen.</t>
        </is>
      </c>
      <c r="J24" s="12" t="inlineStr">
        <is>
          <t>Arbeitsmappe, Workflow-SVG und produktive Logik zeigen dieselbe Regelkette; ein neu erzeugtes Sales_All bestätigt die Beispiele ohne Widerspruch.</t>
        </is>
      </c>
    </row>
    <row r="25" ht="15" customHeight="1" s="62">
      <c r="A25" s="12" t="inlineStr">
        <is>
          <t>29</t>
        </is>
      </c>
      <c r="B25" s="12" t="inlineStr">
        <is>
          <t>Heute</t>
        </is>
      </c>
      <c r="C25" s="12" t="inlineStr">
        <is>
          <t>Finance Gruppenmarge</t>
        </is>
      </c>
      <c r="D25" s="12" t="inlineStr">
        <is>
          <t>-</t>
        </is>
      </c>
      <c r="E25" s="12" t="inlineStr">
        <is>
          <t>Schutz gegen Marge auf Verrechnungspreis greift nur bei Sales Type LRD</t>
        </is>
      </c>
      <c r="F25" s="12" t="inlineStr">
        <is>
          <t>Andreas / Ingo</t>
        </is>
      </c>
      <c r="G25" s="15" t="inlineStr">
        <is>
          <t>Offen</t>
        </is>
      </c>
      <c r="H25" s="12" t="inlineStr">
        <is>
          <t>Der Schutz vor einer Marge auf einem internen Verrechnungspreis greift derzeit nur bei Sales Type LRD. Wird eine liefernde Konzerngesellschaft über Supplier erkannt, aber kein Konzernkostensatz gefunden, kann die Logik trotzdem auf lokale Standardkosten zurückfallen und eine scheinbare Marge anzeigen.</t>
        </is>
      </c>
      <c r="I25" s="12" t="inlineStr">
        <is>
          <t>Zuerst in der Produktivdatenbank messen, wie viele der maximal 19’221 Kandidaten tatsächlich keinen Konzernkostentreffer haben. Andreas entscheidet danach, ob der Schutz auf jede erkannte Konzerngesellschaft erweitert wird und wie ein positiver Kostensatz von einem fehlenden beziehungsweise null Kostensatz unterschieden wird.</t>
        </is>
      </c>
      <c r="J25" s="12" t="inlineStr">
        <is>
          <t>Die echte Fallzahl ist belegt, Andreas hat die Schutzregel freigegeben und Tests zeigen, dass kein interner Verrechnungspreis unbemerkt als lokale Herstellkostenbasis verwendet wird.</t>
        </is>
      </c>
    </row>
    <row r="26" ht="15" customHeight="1" s="62">
      <c r="A26" s="12" t="inlineStr">
        <is>
          <t>30</t>
        </is>
      </c>
      <c r="B26" s="12" t="inlineStr">
        <is>
          <t>Umsetzung</t>
        </is>
      </c>
      <c r="C26" s="12" t="inlineStr">
        <is>
          <t>Finance Standardkosten</t>
        </is>
      </c>
      <c r="D26" s="12" t="inlineStr">
        <is>
          <t>-</t>
        </is>
      </c>
      <c r="E26" s="12" t="inlineStr">
        <is>
          <t>Schalter Schweizer STPRS: Beschriftung und Code stimmen nicht überein</t>
        </is>
      </c>
      <c r="F26" s="12" t="inlineStr">
        <is>
          <t>Ingo / Andreas</t>
        </is>
      </c>
      <c r="G26" s="15" t="inlineStr">
        <is>
          <t>Offen</t>
        </is>
      </c>
      <c r="H26" s="12" t="inlineStr">
        <is>
          <t>Der Schaltertext versprach Schweizer STPRS nur bei internem Lieferanten, während die frühere Codebedingung auch Zeilen ohne erkannte liefernde Gesellschaft erfassen konnte. Die enge Korrektur ist seit 02.09.2026 produktiv: Schweizer STPRS greift nur noch, wenn bereits eine liefernde Konzerngesellschaft erkannt wurde.</t>
        </is>
      </c>
      <c r="I26" s="12" t="inlineStr">
        <is>
          <t>Mit Andreas bestätigen, ob diese enge, zur Beschriftung passende Regel endgültig gewollt ist oder ob bewusst eine breitere MARC-1100-Regel für externe/lokale Fälle benötigt wird. Bei Bestätigung den Punkt schließen; eine breitere Variante wäre ein eigener Modus mit neuer Beschriftung.</t>
        </is>
      </c>
      <c r="J26" s="12" t="inlineStr">
        <is>
          <t>Andreas hat die enge Regel bestätigt oder einen getrennten breiten Modus beauftragt; Schaltertext, Dokumentation und produktives Verhalten sind damit fachlich eindeutig.</t>
        </is>
      </c>
    </row>
    <row r="27" ht="15" customHeight="1" s="62">
      <c r="A27" s="12" t="inlineStr">
        <is>
          <t>31</t>
        </is>
      </c>
      <c r="B27" s="12" t="inlineStr">
        <is>
          <t>Nur terminieren</t>
        </is>
      </c>
      <c r="C27" s="12" t="inlineStr">
        <is>
          <t>Finance IN</t>
        </is>
      </c>
      <c r="D27" s="12" t="inlineStr">
        <is>
          <t>-</t>
        </is>
      </c>
      <c r="E27" s="12" t="inlineStr">
        <is>
          <t>41 Zeilen mit Sales Type FFM und Fremdlieferant Cenlub Systems</t>
        </is>
      </c>
      <c r="F27" s="12" t="inlineStr">
        <is>
          <t>Ingo / Indien</t>
        </is>
      </c>
      <c r="G27" s="15" t="inlineStr">
        <is>
          <t>Offen</t>
        </is>
      </c>
      <c r="H27" s="12" t="inlineStr">
        <is>
          <t>41 Verkaufszeilen sind widersprüchlich klassifiziert: Sales Type FFM sagt Eigenfertigung, gleichzeitig ist Cenlub Systems als externer Lieferant eingetragen. Alle Konflikte betreffen denselben Lieferanten und sind daher gezielt prüfbar.</t>
        </is>
      </c>
      <c r="I27" s="12" t="inlineStr">
        <is>
          <t>Indien anhand der betroffenen Artikel bestätigen lassen, ob es Eigenfertigung mit historisch/falsch gepflegtem Preferred Vendor oder echte Fremdbeschaffung mit falschem Sales Type ist. Danach das falsche Stammfeld korrigieren und neu exportieren.</t>
        </is>
      </c>
      <c r="J27" s="12" t="inlineStr">
        <is>
          <t>Indien hat die Artikel fachlich eingeordnet, der widersprüchliche Stammwert ist korrigiert und der nächste Export zeigt keine ungeklärten FFM/Cenlub-Konflikte mehr.</t>
        </is>
      </c>
    </row>
    <row r="28" ht="15" customHeight="1" s="62"/>
  </sheetData>
  <mergeCells count="2">
    <mergeCell ref="A1:J1"/>
    <mergeCell ref="A2:J2"/>
  </mergeCells>
  <pageMargins left="0.3" right="0.3" top="0.4" bottom="0.4" header="0.5" footer="0.75"/>
  <pageSetup orientation="landscape" fitToHeight="0"/>
  <tableParts count="1">
    <tablePart xmlns:r="http://schemas.openxmlformats.org/officeDocument/2006/relationships" r:id="rId1"/>
  </tableParts>
</worksheet>
</file>

<file path=xl/worksheets/sheet6.xml><?xml version="1.0" encoding="utf-8"?>
<worksheet xmlns="http://schemas.openxmlformats.org/spreadsheetml/2006/main">
  <sheetPr>
    <tabColor rgb="002F5597"/>
    <outlinePr summaryBelow="1" summaryRight="1"/>
    <pageSetUpPr fitToPage="1"/>
  </sheetPr>
  <dimension ref="A1:E35"/>
  <sheetViews>
    <sheetView showGridLines="0" tabSelected="0" workbookViewId="0">
      <selection activeCell="A1" sqref="A1"/>
    </sheetView>
  </sheetViews>
  <sheetFormatPr baseColWidth="8" defaultRowHeight="15"/>
  <cols>
    <col width="26" customWidth="1" style="62" min="1" max="1"/>
    <col width="22" customWidth="1" style="62" min="2" max="2"/>
    <col width="22" customWidth="1" style="62" min="3" max="3"/>
    <col width="22" customWidth="1" style="62" min="4" max="4"/>
    <col width="22" customWidth="1" style="62" min="5" max="5"/>
  </cols>
  <sheetData>
    <row r="1" ht="32" customHeight="1" s="62">
      <c r="A1" s="157" t="inlineStr">
        <is>
          <t>Projektauftrag  ·  eine Seite</t>
        </is>
      </c>
    </row>
    <row r="2" ht="28" customHeight="1" s="62">
      <c r="A2" s="158" t="inlineStr">
        <is>
          <t>Für Vorhaben und Projekte nach HERMES (ab ca. 5 Personentage). Mit der Unterschrift des Auftraggebers ist der Entscheidungspunkt ① Freigabe erreicht.</t>
        </is>
      </c>
    </row>
    <row r="4">
      <c r="A4" s="159" t="inlineStr">
        <is>
          <t>Vorhaben</t>
        </is>
      </c>
      <c r="B4" s="160" t="n"/>
      <c r="C4" s="160" t="n"/>
      <c r="D4" s="160" t="n"/>
      <c r="E4" s="160" t="n"/>
    </row>
    <row r="5" ht="22" customHeight="1" s="62">
      <c r="A5" s="161" t="inlineStr">
        <is>
          <t>Bezeichnung und ID</t>
        </is>
      </c>
      <c r="B5" s="162" t="n"/>
      <c r="C5" s="163" t="n"/>
      <c r="D5" s="163" t="n"/>
      <c r="E5" s="163" t="n"/>
    </row>
    <row r="6" ht="22" customHeight="1" s="62">
      <c r="A6" s="161" t="inlineStr">
        <is>
          <t>HERMES-Stufe</t>
        </is>
      </c>
      <c r="B6" s="162" t="n"/>
      <c r="C6" s="163" t="n"/>
      <c r="D6" s="163" t="n"/>
      <c r="E6" s="163" t="n"/>
    </row>
    <row r="7" ht="22" customHeight="1" s="62">
      <c r="A7" s="161" t="inlineStr">
        <is>
          <t>Grober Aufwand (Personentage)</t>
        </is>
      </c>
      <c r="B7" s="162" t="n"/>
      <c r="C7" s="163" t="n"/>
      <c r="D7" s="163" t="n"/>
      <c r="E7" s="163" t="n"/>
    </row>
    <row r="9">
      <c r="A9" s="159" t="inlineStr">
        <is>
          <t>Inhalt</t>
        </is>
      </c>
      <c r="B9" s="160" t="n"/>
      <c r="C9" s="160" t="n"/>
      <c r="D9" s="160" t="n"/>
      <c r="E9" s="160" t="n"/>
    </row>
    <row r="10" ht="60" customHeight="1" s="62">
      <c r="A10" s="161" t="inlineStr">
        <is>
          <t>Ausgangslage</t>
        </is>
      </c>
      <c r="B10" s="162" t="n"/>
      <c r="C10" s="163" t="n"/>
      <c r="D10" s="163" t="n"/>
      <c r="E10" s="163" t="n"/>
    </row>
    <row r="11" ht="45" customHeight="1" s="62">
      <c r="A11" s="161" t="inlineStr">
        <is>
          <t>Ziel</t>
        </is>
      </c>
      <c r="B11" s="162" t="n"/>
      <c r="C11" s="163" t="n"/>
      <c r="D11" s="163" t="n"/>
      <c r="E11" s="163" t="n"/>
    </row>
    <row r="12" ht="30" customHeight="1" s="62">
      <c r="A12" s="161" t="inlineStr">
        <is>
          <t>Nutzen (ein Satz genügt)</t>
        </is>
      </c>
      <c r="B12" s="162" t="n"/>
      <c r="C12" s="163" t="n"/>
      <c r="D12" s="163" t="n"/>
      <c r="E12" s="163" t="n"/>
    </row>
    <row r="13" ht="30" customHeight="1" s="62">
      <c r="A13" s="161" t="inlineStr">
        <is>
          <t>Nicht im Umfang</t>
        </is>
      </c>
      <c r="B13" s="162" t="n"/>
      <c r="C13" s="163" t="n"/>
      <c r="D13" s="163" t="n"/>
      <c r="E13" s="163" t="n"/>
    </row>
    <row r="15">
      <c r="A15" s="159" t="inlineStr">
        <is>
          <t>Rollen</t>
        </is>
      </c>
      <c r="B15" s="160" t="n"/>
      <c r="C15" s="160" t="n"/>
      <c r="D15" s="160" t="n"/>
      <c r="E15" s="160" t="n"/>
    </row>
    <row r="16" ht="30" customHeight="1" s="62">
      <c r="A16" s="161" t="inlineStr">
        <is>
          <t>Auftraggeber (entscheidet, priorisiert)</t>
        </is>
      </c>
      <c r="B16" s="162" t="n"/>
      <c r="C16" s="163" t="n"/>
      <c r="D16" s="163" t="n"/>
      <c r="E16" s="163" t="n"/>
    </row>
    <row r="17" ht="30" customHeight="1" s="62">
      <c r="A17" s="161" t="inlineStr">
        <is>
          <t>Anwendervertreter (definiert fachlich, nimmt ab)</t>
        </is>
      </c>
      <c r="B17" s="162" t="n"/>
      <c r="C17" s="163" t="n"/>
      <c r="D17" s="163" t="n"/>
      <c r="E17" s="163" t="n"/>
    </row>
    <row r="18" ht="24" customHeight="1" s="62">
      <c r="A18" s="161" t="inlineStr">
        <is>
          <t>Projektleitung / Umsetzung</t>
        </is>
      </c>
      <c r="B18" s="162" t="n"/>
      <c r="C18" s="163" t="n"/>
      <c r="D18" s="163" t="n"/>
      <c r="E18" s="163" t="n"/>
    </row>
    <row r="20">
      <c r="A20" s="159" t="inlineStr">
        <is>
          <t>Abnahmekriterien: Das Vorhaben ist fertig, wenn …</t>
        </is>
      </c>
      <c r="B20" s="160" t="n"/>
      <c r="C20" s="160" t="n"/>
      <c r="D20" s="160" t="n"/>
      <c r="E20" s="160" t="n"/>
    </row>
    <row r="21">
      <c r="A21" s="164" t="inlineStr">
        <is>
          <t>Nr.</t>
        </is>
      </c>
      <c r="B21" s="164" t="inlineStr">
        <is>
          <t>Kriterium</t>
        </is>
      </c>
      <c r="C21" s="164" t="inlineStr"/>
      <c r="D21" s="164" t="inlineStr">
        <is>
          <t>Wie geprüft</t>
        </is>
      </c>
      <c r="E21" s="164" t="inlineStr"/>
    </row>
    <row r="22" ht="22" customHeight="1" s="62">
      <c r="A22" s="163" t="n"/>
      <c r="B22" s="163" t="n"/>
      <c r="C22" s="163" t="n"/>
      <c r="D22" s="163" t="n"/>
      <c r="E22" s="163" t="n"/>
    </row>
    <row r="23" ht="22" customHeight="1" s="62">
      <c r="A23" s="163" t="n"/>
      <c r="B23" s="163" t="n"/>
      <c r="C23" s="163" t="n"/>
      <c r="D23" s="163" t="n"/>
      <c r="E23" s="163" t="n"/>
    </row>
    <row r="24" ht="22" customHeight="1" s="62">
      <c r="A24" s="163" t="n"/>
      <c r="B24" s="163" t="n"/>
      <c r="C24" s="163" t="n"/>
      <c r="D24" s="163" t="n"/>
      <c r="E24" s="163" t="n"/>
    </row>
    <row r="25" ht="22" customHeight="1" s="62">
      <c r="A25" s="163" t="n"/>
      <c r="B25" s="163" t="n"/>
      <c r="C25" s="163" t="n"/>
      <c r="D25" s="163" t="n"/>
      <c r="E25" s="163" t="n"/>
    </row>
    <row r="27">
      <c r="A27" s="159" t="inlineStr">
        <is>
          <t>Freigabe</t>
        </is>
      </c>
      <c r="B27" s="160" t="n"/>
      <c r="C27" s="160" t="n"/>
      <c r="D27" s="160" t="n"/>
      <c r="E27" s="160" t="n"/>
    </row>
    <row r="28" ht="22" customHeight="1" s="62">
      <c r="A28" s="161" t="inlineStr">
        <is>
          <t>Termin Zielabnahme</t>
        </is>
      </c>
      <c r="B28" s="162" t="n"/>
      <c r="C28" s="163" t="n"/>
      <c r="D28" s="163" t="n"/>
      <c r="E28" s="163" t="n"/>
    </row>
    <row r="29" ht="34" customHeight="1" s="62">
      <c r="A29" s="161" t="inlineStr">
        <is>
          <t>Datum, Unterschrift Auftraggeber</t>
        </is>
      </c>
      <c r="B29" s="162" t="n"/>
      <c r="C29" s="163" t="n"/>
      <c r="D29" s="163" t="n"/>
      <c r="E29" s="163" t="n"/>
    </row>
    <row r="31">
      <c r="A31" s="159" t="inlineStr">
        <is>
          <t>Änderungsanträge nach der Freigabe (gehen über den Auftraggeber)</t>
        </is>
      </c>
      <c r="B31" s="160" t="n"/>
      <c r="C31" s="160" t="n"/>
      <c r="D31" s="160" t="n"/>
      <c r="E31" s="160" t="n"/>
    </row>
    <row r="32">
      <c r="A32" s="164" t="inlineStr">
        <is>
          <t>Datum</t>
        </is>
      </c>
      <c r="B32" s="164" t="inlineStr">
        <is>
          <t>Änderung</t>
        </is>
      </c>
      <c r="C32" s="164" t="inlineStr">
        <is>
          <t>Aufwand</t>
        </is>
      </c>
      <c r="D32" s="164" t="inlineStr">
        <is>
          <t>Entscheid</t>
        </is>
      </c>
      <c r="E32" s="164" t="inlineStr">
        <is>
          <t>Visum</t>
        </is>
      </c>
    </row>
    <row r="33" ht="22" customHeight="1" s="62">
      <c r="A33" s="163" t="n"/>
      <c r="B33" s="163" t="n"/>
      <c r="C33" s="163" t="n"/>
      <c r="D33" s="163" t="n"/>
      <c r="E33" s="163" t="n"/>
    </row>
    <row r="34" ht="22" customHeight="1" s="62">
      <c r="A34" s="163" t="n"/>
      <c r="B34" s="163" t="n"/>
      <c r="C34" s="163" t="n"/>
      <c r="D34" s="163" t="n"/>
      <c r="E34" s="163" t="n"/>
    </row>
    <row r="35" ht="22" customHeight="1" s="62">
      <c r="A35" s="163" t="n"/>
      <c r="B35" s="163" t="n"/>
      <c r="C35" s="163" t="n"/>
      <c r="D35" s="163" t="n"/>
      <c r="E35" s="163" t="n"/>
    </row>
  </sheetData>
  <mergeCells count="20">
    <mergeCell ref="A15:E15"/>
    <mergeCell ref="B6:E6"/>
    <mergeCell ref="A1:E1"/>
    <mergeCell ref="B5:E5"/>
    <mergeCell ref="B16:E16"/>
    <mergeCell ref="B7:E7"/>
    <mergeCell ref="A27:E27"/>
    <mergeCell ref="B18:E18"/>
    <mergeCell ref="A2:E2"/>
    <mergeCell ref="B12:E12"/>
    <mergeCell ref="B11:E11"/>
    <mergeCell ref="B17:E17"/>
    <mergeCell ref="A4:E4"/>
    <mergeCell ref="A20:E20"/>
    <mergeCell ref="B13:E13"/>
    <mergeCell ref="B29:E29"/>
    <mergeCell ref="A31:E31"/>
    <mergeCell ref="B10:E10"/>
    <mergeCell ref="B28:E28"/>
    <mergeCell ref="A9:E9"/>
  </mergeCells>
  <pageMargins left="0.75" right="0.75" top="1" bottom="1" header="0.5" footer="0.5"/>
  <pageSetup orientation="portrait" paperSize="9" fitToHeight="1" fitToWidth="1"/>
</worksheet>
</file>

<file path=xl/worksheets/sheet7.xml><?xml version="1.0" encoding="utf-8"?>
<worksheet xmlns="http://schemas.openxmlformats.org/spreadsheetml/2006/main">
  <sheetPr>
    <tabColor rgb="002E8B57"/>
    <outlinePr summaryBelow="1" summaryRight="1"/>
    <pageSetUpPr fitToPage="1"/>
  </sheetPr>
  <dimension ref="A1:E33"/>
  <sheetViews>
    <sheetView showGridLines="0" tabSelected="0" workbookViewId="0">
      <selection activeCell="A1" sqref="A1"/>
    </sheetView>
  </sheetViews>
  <sheetFormatPr baseColWidth="8" defaultRowHeight="15"/>
  <cols>
    <col width="26" customWidth="1" style="62" min="1" max="1"/>
    <col width="22" customWidth="1" style="62" min="2" max="2"/>
    <col width="22" customWidth="1" style="62" min="3" max="3"/>
    <col width="22" customWidth="1" style="62" min="4" max="4"/>
    <col width="22" customWidth="1" style="62" min="5" max="5"/>
  </cols>
  <sheetData>
    <row r="1" ht="32" customHeight="1" s="62">
      <c r="A1" s="165" t="inlineStr">
        <is>
          <t>Abnahmeprotokoll  ·  eine Seite</t>
        </is>
      </c>
    </row>
    <row r="2" ht="28" customHeight="1" s="62">
      <c r="A2" s="158" t="inlineStr">
        <is>
          <t>Mit der Unterschrift des Anwendervertreters ist der Entscheidungspunkt ② Abnahme erreicht. Die Übergabe in den Betrieb schliesst das Vorhaben ab (③ Abschluss).</t>
        </is>
      </c>
    </row>
    <row r="4">
      <c r="A4" s="166" t="inlineStr">
        <is>
          <t>Vorhaben</t>
        </is>
      </c>
      <c r="B4" s="167" t="n"/>
      <c r="C4" s="167" t="n"/>
      <c r="D4" s="167" t="n"/>
      <c r="E4" s="167" t="n"/>
    </row>
    <row r="5" ht="22" customHeight="1" s="62">
      <c r="A5" s="161" t="inlineStr">
        <is>
          <t>Bezeichnung und ID</t>
        </is>
      </c>
      <c r="B5" s="162" t="n"/>
      <c r="C5" s="163" t="n"/>
      <c r="D5" s="163" t="n"/>
      <c r="E5" s="163" t="n"/>
    </row>
    <row r="6" ht="30" customHeight="1" s="62">
      <c r="A6" s="161" t="inlineStr">
        <is>
          <t>Abnahmegegenstand und Version</t>
        </is>
      </c>
      <c r="B6" s="162" t="n"/>
      <c r="C6" s="163" t="n"/>
      <c r="D6" s="163" t="n"/>
      <c r="E6" s="163" t="n"/>
    </row>
    <row r="7" ht="22" customHeight="1" s="62">
      <c r="A7" s="161" t="inlineStr">
        <is>
          <t>Datum der Abnahme</t>
        </is>
      </c>
      <c r="B7" s="162" t="n"/>
      <c r="C7" s="163" t="n"/>
      <c r="D7" s="163" t="n"/>
      <c r="E7" s="163" t="n"/>
    </row>
    <row r="9">
      <c r="A9" s="166" t="inlineStr">
        <is>
          <t>Prüfung der Abnahmekriterien aus dem Projektauftrag</t>
        </is>
      </c>
      <c r="B9" s="167" t="n"/>
      <c r="C9" s="167" t="n"/>
      <c r="D9" s="167" t="n"/>
      <c r="E9" s="167" t="n"/>
    </row>
    <row r="10">
      <c r="A10" s="164" t="inlineStr">
        <is>
          <t>Nr.</t>
        </is>
      </c>
      <c r="B10" s="164" t="inlineStr">
        <is>
          <t>Kriterium</t>
        </is>
      </c>
      <c r="C10" s="164" t="inlineStr">
        <is>
          <t>✔ erfüllt / ✘ nicht</t>
        </is>
      </c>
      <c r="D10" s="164" t="inlineStr">
        <is>
          <t>Bemerkung</t>
        </is>
      </c>
      <c r="E10" s="164" t="inlineStr"/>
    </row>
    <row r="11" ht="22" customHeight="1" s="62">
      <c r="A11" s="163" t="n"/>
      <c r="B11" s="163" t="n"/>
      <c r="C11" s="163" t="n"/>
      <c r="D11" s="163" t="n"/>
      <c r="E11" s="163" t="n"/>
    </row>
    <row r="12" ht="22" customHeight="1" s="62">
      <c r="A12" s="163" t="n"/>
      <c r="B12" s="163" t="n"/>
      <c r="C12" s="163" t="n"/>
      <c r="D12" s="163" t="n"/>
      <c r="E12" s="163" t="n"/>
    </row>
    <row r="13" ht="22" customHeight="1" s="62">
      <c r="A13" s="163" t="n"/>
      <c r="B13" s="163" t="n"/>
      <c r="C13" s="163" t="n"/>
      <c r="D13" s="163" t="n"/>
      <c r="E13" s="163" t="n"/>
    </row>
    <row r="14" ht="22" customHeight="1" s="62">
      <c r="A14" s="163" t="n"/>
      <c r="B14" s="163" t="n"/>
      <c r="C14" s="163" t="n"/>
      <c r="D14" s="163" t="n"/>
      <c r="E14" s="163" t="n"/>
    </row>
    <row r="15" ht="22" customHeight="1" s="62">
      <c r="A15" s="163" t="n"/>
      <c r="B15" s="163" t="n"/>
      <c r="C15" s="163" t="n"/>
      <c r="D15" s="163" t="n"/>
      <c r="E15" s="163" t="n"/>
    </row>
    <row r="17">
      <c r="A17" s="166" t="inlineStr">
        <is>
          <t>Offene Mängel</t>
        </is>
      </c>
      <c r="B17" s="167" t="n"/>
      <c r="C17" s="167" t="n"/>
      <c r="D17" s="167" t="n"/>
      <c r="E17" s="167" t="n"/>
    </row>
    <row r="18">
      <c r="A18" s="164" t="inlineStr">
        <is>
          <t>Nr.</t>
        </is>
      </c>
      <c r="B18" s="164" t="inlineStr">
        <is>
          <t>Mangel</t>
        </is>
      </c>
      <c r="C18" s="164" t="inlineStr">
        <is>
          <t>Schwere</t>
        </is>
      </c>
      <c r="D18" s="164" t="inlineStr">
        <is>
          <t>Erledigen bis</t>
        </is>
      </c>
      <c r="E18" s="164" t="inlineStr">
        <is>
          <t>Wer</t>
        </is>
      </c>
    </row>
    <row r="19" ht="22" customHeight="1" s="62">
      <c r="A19" s="163" t="n"/>
      <c r="B19" s="163" t="n"/>
      <c r="C19" s="163" t="n"/>
      <c r="D19" s="163" t="n"/>
      <c r="E19" s="163" t="n"/>
    </row>
    <row r="20" ht="22" customHeight="1" s="62">
      <c r="A20" s="163" t="n"/>
      <c r="B20" s="163" t="n"/>
      <c r="C20" s="163" t="n"/>
      <c r="D20" s="163" t="n"/>
      <c r="E20" s="163" t="n"/>
    </row>
    <row r="21" ht="22" customHeight="1" s="62">
      <c r="A21" s="163" t="n"/>
      <c r="B21" s="163" t="n"/>
      <c r="C21" s="163" t="n"/>
      <c r="D21" s="163" t="n"/>
      <c r="E21" s="163" t="n"/>
    </row>
    <row r="23">
      <c r="A23" s="166" t="inlineStr">
        <is>
          <t>Entscheid</t>
        </is>
      </c>
      <c r="B23" s="167" t="n"/>
      <c r="C23" s="167" t="n"/>
      <c r="D23" s="167" t="n"/>
      <c r="E23" s="167" t="n"/>
    </row>
    <row r="24" ht="48" customHeight="1" s="62">
      <c r="A24" s="161" t="inlineStr">
        <is>
          <t>☐ abgenommen
☐ mit Auflagen
☐ nicht abgenommen</t>
        </is>
      </c>
      <c r="B24" s="162" t="n"/>
      <c r="C24" s="163" t="n"/>
      <c r="D24" s="163" t="n"/>
      <c r="E24" s="163" t="n"/>
    </row>
    <row r="25" ht="40" customHeight="1" s="62">
      <c r="A25" s="161" t="inlineStr">
        <is>
          <t>Auflagen</t>
        </is>
      </c>
      <c r="B25" s="162" t="n"/>
      <c r="C25" s="163" t="n"/>
      <c r="D25" s="163" t="n"/>
      <c r="E25" s="163" t="n"/>
    </row>
    <row r="27">
      <c r="A27" s="166" t="inlineStr">
        <is>
          <t>Übergabe in den Betrieb</t>
        </is>
      </c>
      <c r="B27" s="167" t="n"/>
      <c r="C27" s="167" t="n"/>
      <c r="D27" s="167" t="n"/>
      <c r="E27" s="167" t="n"/>
    </row>
    <row r="28" ht="30" customHeight="1" s="62">
      <c r="A28" s="161" t="inlineStr">
        <is>
          <t>Betriebsdokumentation vorhanden (Ablage)</t>
        </is>
      </c>
      <c r="B28" s="162" t="n"/>
      <c r="C28" s="163" t="n"/>
      <c r="D28" s="163" t="n"/>
      <c r="E28" s="163" t="n"/>
    </row>
    <row r="29" ht="22" customHeight="1" s="62">
      <c r="A29" s="161" t="inlineStr">
        <is>
          <t>Zuständig im Betrieb</t>
        </is>
      </c>
      <c r="B29" s="162" t="n"/>
      <c r="C29" s="163" t="n"/>
      <c r="D29" s="163" t="n"/>
      <c r="E29" s="163" t="n"/>
    </row>
    <row r="31">
      <c r="A31" s="166" t="inlineStr">
        <is>
          <t>Unterschriften</t>
        </is>
      </c>
      <c r="B31" s="167" t="n"/>
      <c r="C31" s="167" t="n"/>
      <c r="D31" s="167" t="n"/>
      <c r="E31" s="167" t="n"/>
    </row>
    <row r="32" ht="34" customHeight="1" s="62">
      <c r="A32" s="161" t="inlineStr">
        <is>
          <t>Anwendervertreter, Datum</t>
        </is>
      </c>
      <c r="B32" s="162" t="n"/>
      <c r="C32" s="163" t="n"/>
      <c r="D32" s="163" t="n"/>
      <c r="E32" s="163" t="n"/>
    </row>
    <row r="33" ht="34" customHeight="1" s="62">
      <c r="A33" s="161" t="inlineStr">
        <is>
          <t>Auftraggeber (zur Kenntnis), Datum</t>
        </is>
      </c>
      <c r="B33" s="162" t="n"/>
      <c r="C33" s="163" t="n"/>
      <c r="D33" s="163" t="n"/>
      <c r="E33" s="163" t="n"/>
    </row>
  </sheetData>
  <mergeCells count="17">
    <mergeCell ref="A4:E4"/>
    <mergeCell ref="A31:E31"/>
    <mergeCell ref="A2:E2"/>
    <mergeCell ref="B6:E6"/>
    <mergeCell ref="B29:E29"/>
    <mergeCell ref="B7:E7"/>
    <mergeCell ref="A1:E1"/>
    <mergeCell ref="A23:E23"/>
    <mergeCell ref="B24:E24"/>
    <mergeCell ref="B5:E5"/>
    <mergeCell ref="B25:E25"/>
    <mergeCell ref="B33:E33"/>
    <mergeCell ref="B28:E28"/>
    <mergeCell ref="A17:E17"/>
    <mergeCell ref="A9:E9"/>
    <mergeCell ref="A27:E27"/>
    <mergeCell ref="B32:E32"/>
  </mergeCells>
  <pageMargins left="0.75" right="0.75" top="1" bottom="1" header="0.5" footer="0.5"/>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2026-09-29T05:50:21Z</dcterms:created>
  <dcterms:modified xsi:type="dcterms:W3CDTF">2026-10-21T06:26:20Z</dcterms:modified>
  <cp:lastModifiedBy>Kohler, Ingo</cp:lastModifiedBy>
</cp:coreProperties>
</file>