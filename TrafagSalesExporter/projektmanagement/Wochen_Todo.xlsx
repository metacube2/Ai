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Users\koi\source\repos\Ai\TrafagSalesExporter\projektmanagement\"/>
    </mc:Choice>
  </mc:AlternateContent>
  <xr:revisionPtr revIDLastSave="0" documentId="13_ncr:1_{9DC83D47-5CA3-4C82-A240-E5FE1DF2F044}" xr6:coauthVersionLast="47" xr6:coauthVersionMax="47" xr10:uidLastSave="{00000000-0000-0000-0000-000000000000}"/>
  <bookViews>
    <workbookView xWindow="-120" yWindow="-120" windowWidth="29040" windowHeight="15720" xr2:uid="{00000000-000D-0000-FFFF-FFFF00000000}"/>
  </bookViews>
  <sheets>
    <sheet name="Zusammenfassung" sheetId="2" r:id="rId1"/>
    <sheet name="Wochen-Todo" sheetId="1" r:id="rId2"/>
    <sheet name="Legende" sheetId="3" r:id="rId3"/>
    <sheet name="Erläuterungen" sheetId="4" r:id="rId4"/>
  </sheets>
  <definedNames>
    <definedName name="_xlnm._FilterDatabase" localSheetId="1" hidden="1">'Wochen-Todo'!$A$1:$K$32</definedName>
    <definedName name="_xlnm.Print_Area" localSheetId="1">'Wochen-Todo'!$A$1:$K$32</definedName>
    <definedName name="_xlnm.Print_Titles" localSheetId="3">Erläuterungen!1:4</definedName>
    <definedName name="_xlnm.Print_Titles" localSheetId="1">'Wochen-Todo'!1:1</definedName>
  </definedNames>
  <calcPr calcId="0"/>
</workbook>
</file>

<file path=xl/sharedStrings.xml><?xml version="1.0" encoding="utf-8"?>
<sst xmlns="http://schemas.openxmlformats.org/spreadsheetml/2006/main" count="681" uniqueCount="309">
  <si>
    <t>ID</t>
  </si>
  <si>
    <t>Thema</t>
  </si>
  <si>
    <t>Prio</t>
  </si>
  <si>
    <t>Fortschritt</t>
  </si>
  <si>
    <t>Kurzstatus</t>
  </si>
  <si>
    <t>Naechster Schritt</t>
  </si>
  <si>
    <t>PM-01</t>
  </si>
  <si>
    <t>ZLO03: fehlende Materialien und falsche Mengen</t>
  </si>
  <si>
    <t>Hoch</t>
  </si>
  <si>
    <t>Fixes 10-18 fertig, aber Transaktion startet Z_ZLO03_TURBO2 statt der gepatchten Version.</t>
  </si>
  <si>
    <t>Diagnoselauf p_diag, danach Transport nach B76.</t>
  </si>
  <si>
    <t>PM-02</t>
  </si>
  <si>
    <t>ZC12: Fehler bei Nullmengen</t>
  </si>
  <si>
    <t>Mittel</t>
  </si>
  <si>
    <t>Blockiert, Tracing ist tot (p_debug deaktiviert).</t>
  </si>
  <si>
    <t>Vorfrage in SE93: ist ZC12 = Z_ABGLEICH_KTSCH?</t>
  </si>
  <si>
    <t>PM-03</t>
  </si>
  <si>
    <t>ZZPRDAT: Produktionsdatum am Fertigungsauftrag</t>
  </si>
  <si>
    <t>Root Cause geklaert, Umsetzung fachlich blockiert durch drei offene Klaerungen.</t>
  </si>
  <si>
    <t>Aenderungsbelege zu Auftrag 1214608 lesen.</t>
  </si>
  <si>
    <t>PM-04</t>
  </si>
  <si>
    <t>Einkauf: Spend-Dashboard mit Drilldown</t>
  </si>
  <si>
    <t>SAP-Direktanbindung produktiv seit 12.08.2026, Materialtext MAKTX seit 18.08.2026.</t>
  </si>
  <si>
    <t>D1/D5-Texte pflegen, SEGW-Key auf DISPO_KZ + DISPO korrigieren.</t>
  </si>
  <si>
    <t>PM-05</t>
  </si>
  <si>
    <t>Finance: alle Daten in einem zentralen Excel</t>
  </si>
  <si>
    <t>Produktiv; Detailarbeit laeuft im Finance-Issue-Log. ISS-003.4 ist als Option produktiv, Andreas entscheidet die Ausnahme.</t>
  </si>
  <si>
    <t>Ueber das Finance-Issue-Log weiterfuehren; CH/AT-Option mit Andreas entscheiden.</t>
  </si>
  <si>
    <t>PM-06</t>
  </si>
  <si>
    <t>PPWR und Stoffcompliance ueber SAP-Klassifizierung</t>
  </si>
  <si>
    <t>Erledigt 2026-08-20 laut Ingo: Pilotmaterialien zugeordnet, CL30N-Abnahme gefahren.</t>
  </si>
  <si>
    <t>Keiner. P76-Transport bleibt gemaess Anlageprotokoll bis zur Fachfreigabe gesperrt.</t>
  </si>
  <si>
    <t>PM-07</t>
  </si>
  <si>
    <t>HR: automatische Auswertung der REXX-Files</t>
  </si>
  <si>
    <t>Wartet auf die externe Firma; Schnittstelle und Zeitplan sind unbekannt.</t>
  </si>
  <si>
    <t>Fertigstellung des automatischen Exporters abwarten, danach Anbindung planen.</t>
  </si>
  <si>
    <t>-</t>
  </si>
  <si>
    <t>Einkauf: Lagerwert der Einkaufsteile (Wunsch Armin)</t>
  </si>
  <si>
    <t>Produktiv persistent gespeichert; Kachel zeigt CHF 9'205'959 (Stand 24.08.2026).</t>
  </si>
  <si>
    <t>MB5L-Abgleich und serverseitigen Einkauf-Lauf als Kettennachweis ausfuehren.</t>
  </si>
  <si>
    <t>ISS-004.2</t>
  </si>
  <si>
    <t>Finance ES: PostingDate Spanien</t>
  </si>
  <si>
    <t>Spaltenzuordnung und Nachtrag Januar-Mai sind erledigt; Tagesprozess extern offen.</t>
  </si>
  <si>
    <t>Wartet auf serverseitigen Tausch der Sage-Exportversion (7 auf 35 Tage).</t>
  </si>
  <si>
    <t>Hinweis: Fortschritt ist eine Einschaetzung aus dem Text der Quellen, keine gemessene Kennzahl.</t>
  </si>
  <si>
    <t>Quellen: projektmanagement/PROJEKTSTATUS.md (PM-01 bis PM-07), docs/AGENT_COORDINATION.md (aktuellerer Stand) und docs/Issue_Log_Konsolidiert_2026-08-12.tsv (Finance).</t>
  </si>
  <si>
    <t>Nr</t>
  </si>
  <si>
    <t>Dringlichkeit</t>
  </si>
  <si>
    <t>Bereich</t>
  </si>
  <si>
    <t>Wer</t>
  </si>
  <si>
    <t>Status</t>
  </si>
  <si>
    <t>Fällig</t>
  </si>
  <si>
    <t>Nächster Schritt</t>
  </si>
  <si>
    <t>Erledigt am</t>
  </si>
  <si>
    <t>1</t>
  </si>
  <si>
    <t>Heute</t>
  </si>
  <si>
    <t>Finance ES</t>
  </si>
  <si>
    <t>Spanien Buchungsdatum</t>
  </si>
  <si>
    <t>Ingo</t>
  </si>
  <si>
    <t>Läuft</t>
  </si>
  <si>
    <t/>
  </si>
  <si>
    <t>NUR NOCH DIESER SCHRITT: Mail an Santi, 7-Tage- gegen 35-Tage-Version ersetzen lassen. Fachentscheid und Umsetzung sind fertig - Andreas hat am 26.08.2026 das Rechnungsdatum als massgeblich gesetzt, Regel UseInvoiceDate mit ScopeKey ES ist seit 26.08.2026 produktiv. Fuellgrad PostingDate 1'523/7'071 (21,5 %) und seit dem 26.08. unveraendert</t>
  </si>
  <si>
    <t>2</t>
  </si>
  <si>
    <t>Nur terminieren</t>
  </si>
  <si>
    <t>ISS-004.1</t>
  </si>
  <si>
    <t>Spanien Januar bis Mai 2026</t>
  </si>
  <si>
    <t>Erledigt</t>
  </si>
  <si>
    <t>Nachtrag und Import am 18.08.2026 bestätigt; keine Aktion</t>
  </si>
  <si>
    <t>3</t>
  </si>
  <si>
    <t>SAP ZC12</t>
  </si>
  <si>
    <t>ZC12 Fehler bei Nullmengen</t>
  </si>
  <si>
    <t>Blockiert</t>
  </si>
  <si>
    <t>4</t>
  </si>
  <si>
    <t>Hoch, haengt an anderen</t>
  </si>
  <si>
    <t>Finance FR</t>
  </si>
  <si>
    <t>ISS-001.2</t>
  </si>
  <si>
    <t>Datenzufluss TR FR</t>
  </si>
  <si>
    <t>Frankreich / Ingo</t>
  </si>
  <si>
    <t>Wartet auf andere</t>
  </si>
  <si>
    <t>Eskalieren, seit 30.07.2026 keine Faktura mehr (18 Tage)</t>
  </si>
  <si>
    <t>5</t>
  </si>
  <si>
    <t>Finance CH/AT</t>
  </si>
  <si>
    <t>ISS-003.4</t>
  </si>
  <si>
    <t>Herstellerregel CH/AT</t>
  </si>
  <si>
    <t>Andreas</t>
  </si>
  <si>
    <t>Wartet auf Entscheid</t>
  </si>
  <si>
    <t>Produktiven Schalter in Settings vergleichen; Andreas entscheidet, ob Fremdbezug die Herstellerregel als Ausnahme bricht (Default bleibt bisherige Regel)</t>
  </si>
  <si>
    <t>6</t>
  </si>
  <si>
    <t>Finance Gruppenmarge</t>
  </si>
  <si>
    <t>ISS-009</t>
  </si>
  <si>
    <t>Fachfreigabe Gruppenmarge</t>
  </si>
  <si>
    <t>Offen</t>
  </si>
  <si>
    <t>Termin mit Andreas, Punkt 2 von 3</t>
  </si>
  <si>
    <t>7</t>
  </si>
  <si>
    <t>Finance Abgrenzung</t>
  </si>
  <si>
    <t>ISS-010</t>
  </si>
  <si>
    <t>Innenumsatz / Doppelzählung</t>
  </si>
  <si>
    <t>Termin mit Andreas, Punkt 3 von 3</t>
  </si>
  <si>
    <t>8</t>
  </si>
  <si>
    <t>ISS-003.5</t>
  </si>
  <si>
    <t>Supplier-Fallback je Land</t>
  </si>
  <si>
    <t>Niedrig</t>
  </si>
  <si>
    <t>Entschieden am 27.08.2026: steht kein Lieferant, gelten die lokalen Standardkosten der verkaufenden Gesellschaft; keine Aufteilung je Land</t>
  </si>
  <si>
    <t>9</t>
  </si>
  <si>
    <t>SAP ZLO03</t>
  </si>
  <si>
    <t>ZLO03 Mengen und Materialien</t>
  </si>
  <si>
    <t>Diagnoselauf p_diag und Regressionstest, danach Transport nach B76</t>
  </si>
  <si>
    <t>10</t>
  </si>
  <si>
    <t>ZLO03 Kommunikationspflicht</t>
  </si>
  <si>
    <t>Ann-Katrin Michel vorwarnen: Spalte Exklusiv liefert künftig auch "?"</t>
  </si>
  <si>
    <t>11</t>
  </si>
  <si>
    <t>SAP ZZPRDAT</t>
  </si>
  <si>
    <t>ZZPRDAT Umsetzung</t>
  </si>
  <si>
    <t>BAdI WORKORDER_UPDATE neu aus der Anforderung bauen; Altcode ist auskommentiert und keine Referenz</t>
  </si>
  <si>
    <t>12</t>
  </si>
  <si>
    <t>ZZPRDAT Rückfragen</t>
  </si>
  <si>
    <t>Trigger an Lucas Castro / Florian Wächter, Quellfeld GLTRP und Herkunft seines Auszugs an Marco Di Menco</t>
  </si>
  <si>
    <t>13</t>
  </si>
  <si>
    <t>Umsetzung</t>
  </si>
  <si>
    <t>Finance DE/ES</t>
  </si>
  <si>
    <t>ISS-003.3</t>
  </si>
  <si>
    <t>DE/ES ohne Lieferantenfelder</t>
  </si>
  <si>
    <t>Zuerst eigene Export-SQL prüfen, erst danach den Standort fragen. Präzedenzfall UK, belegt am 02.09.2026: die Lieferantenspalten waren in der UK-Datei seit jeher gefüllt (1881/1881) und nur nie gemappt</t>
  </si>
  <si>
    <t>14</t>
  </si>
  <si>
    <t>Finance Export</t>
  </si>
  <si>
    <t>ISS-013</t>
  </si>
  <si>
    <t>Sales Type und Sachnummer im Export</t>
  </si>
  <si>
    <t>App</t>
  </si>
  <si>
    <t>Produktiv seit 27.08.2026 15:28. Beim nächsten Export die Indien-Quote im Excel gegen die App gegenprüfen</t>
  </si>
  <si>
    <t>15</t>
  </si>
  <si>
    <t>ISS-006</t>
  </si>
  <si>
    <t>CH/AT Journal, SAP-Set aktivieren</t>
  </si>
  <si>
    <t>SAP / Ingo</t>
  </si>
  <si>
    <t>FinanzJournalSet aktivieren, danach $metadata prüfen</t>
  </si>
  <si>
    <t>16</t>
  </si>
  <si>
    <t>Einkauf</t>
  </si>
  <si>
    <t>Einkauf Restpunkte SAP</t>
  </si>
  <si>
    <t>D1/D5-Texte pflegen, SEGW-Key auf DISPO_KZ + DISPO korrigieren</t>
  </si>
  <si>
    <t>17</t>
  </si>
  <si>
    <t>Marktsegmente</t>
  </si>
  <si>
    <t>Sichtprüfläufe produktiv nachholen</t>
  </si>
  <si>
    <t>3 Deploys angemeldet sichtprüfen: Segmente, Umfrage, Jahresfilter</t>
  </si>
  <si>
    <t>18</t>
  </si>
  <si>
    <t>ISS-012</t>
  </si>
  <si>
    <t>Phantom-Legendenzeile im Export</t>
  </si>
  <si>
    <t>Produktiv deployed am 27.08.2026: Phantom-Legendenzeile wird im Konsolidierungsschritt ausgefiltert.</t>
  </si>
  <si>
    <t>27.08.2026</t>
  </si>
  <si>
    <t>19</t>
  </si>
  <si>
    <t>Finance IT</t>
  </si>
  <si>
    <t>ISS-007.1</t>
  </si>
  <si>
    <t>TR IT Moving Average</t>
  </si>
  <si>
    <t>Paola / Ingo</t>
  </si>
  <si>
    <t>Ende Aug 2026</t>
  </si>
  <si>
    <t>Termin mit Paola setzen</t>
  </si>
  <si>
    <t>20</t>
  </si>
  <si>
    <t>SAP PPWR</t>
  </si>
  <si>
    <t>PPWR Pilotmaterialien</t>
  </si>
  <si>
    <t>Adil</t>
  </si>
  <si>
    <t>Komplett erledigt 2026-08-20 laut Ingo: Pilotmaterialien zugeordnet, CL30N-Abnahme gefahren</t>
  </si>
  <si>
    <t>21</t>
  </si>
  <si>
    <t>Finance Reporting</t>
  </si>
  <si>
    <t>ISS-008</t>
  </si>
  <si>
    <t>Budget-CHF als Reportinggrösse</t>
  </si>
  <si>
    <t>Finance / Andreas</t>
  </si>
  <si>
    <t>6 offene Entscheide bei Finance, nur beobachten</t>
  </si>
  <si>
    <t>22</t>
  </si>
  <si>
    <t>HR</t>
  </si>
  <si>
    <t>REXX automatische Auswertung</t>
  </si>
  <si>
    <t>Wartet auf externe Firma</t>
  </si>
  <si>
    <t>Exporter-Fertigstellung abwarten, danach Anbindung/Auswertung planen</t>
  </si>
  <si>
    <t>23</t>
  </si>
  <si>
    <t>Lagerwert Einkaufsteile</t>
  </si>
  <si>
    <t>Teil umgesetzt, Nachweis offen</t>
  </si>
  <si>
    <t>MB5L-Abgleich und serverseitigen Einkauf-Lauf als Kettennachweis ausführen</t>
  </si>
  <si>
    <t>24</t>
  </si>
  <si>
    <t>Railway</t>
  </si>
  <si>
    <t>PM-08</t>
  </si>
  <si>
    <t>Railway Kundenname Deutschland</t>
  </si>
  <si>
    <t>08.09.2026</t>
  </si>
  <si>
    <t>INFORMATION_SCHEMA-Auszug aus Alphaplan holen; ohne Kundenname kein DE-Railway</t>
  </si>
  <si>
    <t>25</t>
  </si>
  <si>
    <t>Railway Zuordnung prüfen lassen</t>
  </si>
  <si>
    <t>Patrik</t>
  </si>
  <si>
    <t>Patrik prüft die 30 mengenstärksten Vorschläge oder setzt sie selbst</t>
  </si>
  <si>
    <t>26</t>
  </si>
  <si>
    <t>Railway Export für Rohail Munir</t>
  </si>
  <si>
    <t>Nach Bestätigung exportieren; Deutschland notfalls offen ausweisen</t>
  </si>
  <si>
    <t>27</t>
  </si>
  <si>
    <t>Finance Standardkosten</t>
  </si>
  <si>
    <t>Rückfrage an Andreas zur Sitzung vom 27.08.2026</t>
  </si>
  <si>
    <t>Technische Vergleichslogik abgeschlossen: Andreas kann beide Kostenquellen direkt in Settings wählen; fachliche Auswahl erfolgt im Vergleich.</t>
  </si>
  <si>
    <t>28</t>
  </si>
  <si>
    <t>Arbeitsmappe Standortkosten auf den Sitzungsstand bringen</t>
  </si>
  <si>
    <t>Sales Type in den oberen Block ziehen, Zweig ohne Lieferant und Währungszeile ergänzen, danach Sales_All neu generieren. Als Abgleich dient docs/FINANCE_LIEFERANT_STANDARDKOSTEN_WORKFLOW_2026-09-02.svg</t>
  </si>
  <si>
    <t>29</t>
  </si>
  <si>
    <t>Schutz gegen Marge auf Verrechnungspreis greift nur bei Sales Type LRD</t>
  </si>
  <si>
    <t>Andreas / Ingo</t>
  </si>
  <si>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</si>
  <si>
    <t>30</t>
  </si>
  <si>
    <t>Schalter Schweizer STPRS: Beschriftung und Code stimmen nicht überein</t>
  </si>
  <si>
    <t>Ingo / Andreas</t>
  </si>
  <si>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</si>
  <si>
    <t>31</t>
  </si>
  <si>
    <t>Finance IN</t>
  </si>
  <si>
    <t>41 Zeilen mit Sales Type FFM und Fremdlieferant Cenlub Systems</t>
  </si>
  <si>
    <t>Ingo / Indien</t>
  </si>
  <si>
    <t>Alle 41 Konfliktzeilen gehen auf einen einzigen Lieferanten zurück. Indien prüfen lassen, ob diese Artikel wirklich Eigenfertigung sind oder der Sales Type falsch steht</t>
  </si>
  <si>
    <t>Hinweis</t>
  </si>
  <si>
    <t>Quelle</t>
  </si>
  <si>
    <t>projektmanagement/Wochen_Todo.tsv ist die fuehrende Fassung. Diese Arbeitsmappe wird daraus erzeugt; Aenderungen bitte im TSV nachziehen oder per Chatbefehl neu erzeugen lassen, sonst laufen beide auseinander.</t>
  </si>
  <si>
    <t>Herkunft der Punkte</t>
  </si>
  <si>
    <t>Zusammengestellt aus docs/Issue_Log_Konsolidiert_2026-08-12.tsv (Finance), projektmanagement/PROJEKTSTATUS.md (PM-01 bis PM-07) und docs/AGENT_COORDINATION.md (aktuelle technische Nachweise). Keine neuen Fakten, nur eine woechentliche Priorisierung.</t>
  </si>
  <si>
    <t>Sortieren, Filtern, Gruppieren</t>
  </si>
  <si>
    <t>Die Tabelle ist bewusst flach ohne verbundene Zellen aufgebaut. In Excel per Spaltenkopf-Pfeil filtern, ueber Daten &gt; Sortieren nach Bereich oder Dringlichkeit ordnen, oder ueber Daten &gt; Gliederung &gt; Teilergebnisse nach Bereich gruppieren.</t>
  </si>
  <si>
    <t>Aktualisieren</t>
  </si>
  <si>
    <t>Auf Zuruf im Chat neu erzeugen lassen. Erledigte Punkte werden im TSV auf Status 'Erledigt' gesetzt und erscheinen hier durchgestrichen und gruen.</t>
  </si>
  <si>
    <t>Farbe Dringlichkeit</t>
  </si>
  <si>
    <t>Heute = rot, Hoch/haengt an anderen = orange, Umsetzung = blau, Nur terminieren = grau.</t>
  </si>
  <si>
    <t>Farbe Bereich</t>
  </si>
  <si>
    <t>Finance = hellblau, SAP = grau, Einkauf = gruen, Marktsegmente = violett, nur zur schnellen optischen Unterscheidung.</t>
  </si>
  <si>
    <t>Farbe Prioritaet</t>
  </si>
  <si>
    <t>Hoch = rot, Mittel = orange, Niedrig = grau.</t>
  </si>
  <si>
    <t>Farbe Status</t>
  </si>
  <si>
    <t>Erledigt = gruen, Laeuft = blau, Blockiert = rot, Wartet auf andere/Entscheid/Vorfrage = orange, Offen = gelb.</t>
  </si>
  <si>
    <t>Faelligkeit</t>
  </si>
  <si>
    <t>Ein gepflegtes Datum wird rot und fett hervorgehoben, solange der Punkt nicht erledigt ist.</t>
  </si>
  <si>
    <t>Kein Ersatz fuer das Issue-Log</t>
  </si>
  <si>
    <t>Finance-Detailstatus bleibt in docs/Issue_Log_Konsolidiert_2026-08-12.tsv fuehrend. Diese Mappe ist eine persoenliche Wochenauswahl, keine vollstaendige Zweitquelle.</t>
  </si>
  <si>
    <t>Blatt Zusammenfassung</t>
  </si>
  <si>
    <t>Zeigt die uebergeordneten Projektaufgaben PM-01 bis PM-07 sowie zwei aktuelle Punkte ohne PM-Nummer, mit Fortschrittsbalken. Der Fortschritt ist eine Einschaetzung aus dem Text, keine gemessene Kennzahl, und wird nicht automatisch aus dem Wochen-Todo abgeleitet.</t>
  </si>
  <si>
    <t>Erläuterungen zu den offenen Wochen-Todos</t>
  </si>
  <si>
    <t>Stand 02.09.2026 · nur Status ungleich „Erledigt“ · 24 Punkte</t>
  </si>
  <si>
    <t>Nr.</t>
  </si>
  <si>
    <t>Owner</t>
  </si>
  <si>
    <t>Worum geht es?</t>
  </si>
  <si>
    <t>Was ist zu tun / zu entscheiden?</t>
  </si>
  <si>
    <t>Erledigt, wenn …</t>
  </si>
  <si>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</si>
  <si>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</si>
  <si>
    <t>Die Transaktionszuordnung ist belegt, der Nullmengenfall läuft ohne stilles Überspringen durch und ein Regressionstest bestätigt, dass normale Mengen unverändert verarbeitet werden.</t>
  </si>
  <si>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</si>
  <si>
    <t>Frankreich gezielt fragen, warum Lieferung und Faktura am selben Tag endeten und wann der Rückstand verbucht wird. Den ersten neuen Lauf anschließend auf August-Nachbuchungen und eine plausible Belegfolge prüfen.</t>
  </si>
  <si>
    <t>Neue französische Fakturen fließen wieder ein und der Rückstand ist entweder nachgebucht oder von Finance ausdrücklich als nicht vorhanden bestätigt.</t>
  </si>
  <si>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</si>
  <si>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</si>
  <si>
    <t>Andreas hat die Regel schriftlich bestätigt, der entsprechende Schalter ist gesetzt und Stichproben zeigen die erwartete Kostenquelle für Eigenfertigung und Handelsware.</t>
  </si>
  <si>
    <t>Die Gruppenmarge ist technisch vorhanden, bleibt aber eine Prüfsicht. Sie verwendet den Umsatz und die echten Konzern-Herstellkosten der liefernden Gesellschaft. Offene Lieferanten-, Kostenbasis- und Intercompany-Fragen können das Ergebnis noch beeinflussen.</t>
  </si>
  <si>
    <t>Andreas prüft anhand des Nachweisblatts Gruppenmarge Details die Klassifikation, Kostenquelle, Währung und offenen Statusfälle. Danach entweder ausdrücklich als führenden Abschlusswert freigeben oder konkrete verbleibende Vorbehalte mit Prüfkriterium nennen.</t>
  </si>
  <si>
    <t>Eine dokumentierte Finance-Freigabe liegt vor oder alle benannten Vorbehalte sind als eigene, messbare Folgepunkte erfasst; bis dahin bleibt die Kennzahl als Prüfsicht bezeichnet.</t>
  </si>
  <si>
    <t>Verkauft eine Trafag-Gesellschaft an eine andere und diese anschließend an den Endkunden, erscheinen in der Summe der Standortumsätze beide Verkäufe. Das ist für eine Standort-Bruttosicht korrekt, für einen konsolidierten Konzern-Außenumsatz jedoch eine Doppelzählung.</t>
  </si>
  <si>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</si>
  <si>
    <t>Die offizielle Umsatzdefinition und der Konsolidierungskreis sind dokumentiert; Dashboard-Hauptwert, Ist ohne IC und Sollvergleich folgen derselben freigegebenen Regel.</t>
  </si>
  <si>
    <t>Die Korrekturen für falsche Mengeninterpretation und fehlende numerische Materialien sind geschrieben, aber die produktive Transaktion ZLO03 startet ein anderes Programm. Damit sind die neuen Fixes im laufenden Prozess noch nicht wirksam.</t>
  </si>
  <si>
    <t>Den Diagnoselauf p_diag und den Regressionstest im tatsächlich gestarteten Programm Z_ZLO03_TURBO2 durchführen. Danach die freigegebenen Fixes in dieses Programm übernehmen beziehungsweise transportieren und auf B76 erneut gegen bekannte Fälle prüfen.</t>
  </si>
  <si>
    <t>ZLO03 läuft mit dem korrigierten produktiven Programm; Mengen und Materialien stimmen in der Regression und der Transport nach B76 ist nachgewiesen.</t>
  </si>
  <si>
    <t>Die Spalte Exklusiv erhält künftig neben leer und X auch den Wert ?. Er bedeutet, dass die Exklusivität mit den vorhandenen Daten nicht sicher entschieden werden kann. Eine Fehlinterpretation als X könnte zur Kündigung eines noch benötigten Mengenkontrakts führen.</t>
  </si>
  <si>
    <t>Ann-Katrin Michel vor dem produktiven Einsatz über den dritten Wert, seine Bedeutung und das richtige Vorgehen bei ? informieren. Die Information soll vor der nächsten operativen Auswertung erfolgen.</t>
  </si>
  <si>
    <t>Ann-Katrin hat die Änderung bestätigt und weiß, dass ? manuell geprüft werden muss und nicht wie X behandelt werden darf.</t>
  </si>
  <si>
    <t>Für AUFK-ZZPRDAT existiert derzeit kein aktiver Schreibpfad; der alte Exit ist vollständig auskommentiert und keine belastbare Referenz. Ziel ist ein einmalig gesetztes Produktionsdatum bei Auftragsstart/Freigabe, das spätere Terminänderungen nicht überschreiben.</t>
  </si>
  <si>
    <t>Nach Klärung der Rückfragen aus dem zweiten ZZPRDAT-Punkt die Lösung neu über WORKORDER_UPDATE und Z_PP_PRDDAT_SET bauen. Die BAdI-Signatur im eigenen SAP-Release prüfen, write-once absichern und die acht vorgesehenen Fälle in T76 testen.</t>
  </si>
  <si>
    <t>Produktionsdatum wird beim freigegebenen Trigger genau einmal aus dem bestätigten Quellfeld gesetzt, bleibt bei späterem Speichern unverändert und ist nach Transport sowie Nachbefüllung geprüft.</t>
  </si>
  <si>
    <t>Vor der ZZPRDAT-Implementierung fehlen drei fachliche Belege: Auftragsstart oder Freigabe als Trigger, GLTRP oder GLTRS als Quelltermin sowie die Herkunft eines historischen Auszugs, der dem heutigen Live-Stand widerspricht.</t>
  </si>
  <si>
    <t>Lucas Castro und Florian Wächter bestätigen den Trigger; Marco Di Menco oder Florian bestätigt das Quellfeld. Marco nennt außerdem Report und Ziehungsdatum des Auszugs zu Auftrag 1214608.</t>
  </si>
  <si>
    <t>Trigger und Quellfeld sind schriftlich festgelegt und der widersprüchliche Referenzfall ist erklärt oder ausdrücklich als ungeeignet verworfen.</t>
  </si>
  <si>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</si>
  <si>
    <t>Für DE und ES zuerst Export-SQL, Rohdatei und Import-Mapping spaltenweise vergleichen. Nur wenn die Quelle das Feld tatsächlich nicht liefert, mit einem konkreten Feldbedarf an den jeweiligen Standort gehen.</t>
  </si>
  <si>
    <t>Für beide Länder ist belegt, ob die Information in der Quelle existiert; vorhandene Felder sind gemappt oder eine echte Quelllücke ist mit Ansprechpartner und vereinbartem nächsten Schritt dokumentiert.</t>
  </si>
  <si>
    <t>Das CH/AT-Journal ist in der Anwendung vorbereitet, erhält aber ohne das SAP-OData-EntitySet FinanzJournalSet keine Daten. Die Spezifikation ist vorhanden; offen ist nur die Aktivierung im SAP-System.</t>
  </si>
  <si>
    <t>EntitySet in SAP aktivieren. Anschließend produktives $metadata und mindestens eine echte Datenantwort prüfen, danach einen Journal-Import und die Anzeige für CH/AT kontrollieren.</t>
  </si>
  <si>
    <t>FinanzJournalSet liefert produktiv HTTP 200 mit den erwarteten Feldern und das CH/AT-Journal zeigt einen erfolgreich importierten, plausiblen Datenbestand.</t>
  </si>
  <si>
    <t>Die SAP-basierte Produktgruppenlogik im Einkaufsdashboard läuft produktiv. Zwei nicht blockierende Stammdaten-/Metadatenpunkte bleiben: D1 und D5 haben keinen Text, und DISPO ist allein kein eindeutiger Schlüssel.</t>
  </si>
  <si>
    <t>Texte für D1/D5 in ZDISPO_SPART pflegen und den SEGW-Schlüssel von ZDISPO_GRP auf DISPO_KZ plus DISPO erweitern. Danach Metadaten, OData-Antwort und Delta-Lauf prüfen.</t>
  </si>
  <si>
    <t>D1/D5 werden mit Text angezeigt, der zusammengesetzte Schlüssel ist im produktiven Metadata sichtbar und alle Gruppen werden ohne Überschreiben oder Duplikate geladen.</t>
  </si>
  <si>
    <t>Drei bereits produktiv ausgelieferte Marktsegment-Funktionen wurden technisch geprüft, aber noch nicht von einem Anwender im Browser abgenommen: Segmentanzeige, Marktumfrage und Jahresfilter.</t>
  </si>
  <si>
    <t>Die drei Funktionen im produktiven System mit realistischen Filtern öffnen, Werte und Navigation plausibilisieren und auffällige Abweichungen mit Screenshot beziehungsweise konkretem Datensatz notieren.</t>
  </si>
  <si>
    <t>Alle drei Sichtprüfläufe sind dokumentiert bestanden oder gefundene Fehler wurden als eigene Punkte mit Reproduktionsschritten erfasst.</t>
  </si>
  <si>
    <t>Für Italien ist der jüngste positive B1-Belegwert INV1/RIN1.StockPrice aktuell die freigegebene Konzernkostenbasis. Alternativ kann ein Durchschnitt positiver Werte verwendet werden. Offen ist, ob Finance fachlich Moving Average beziehungsweise einen Cost Run bevorzugt.</t>
  </si>
  <si>
    <t>Termin mit Paola durchführen und festlegen, welche Kostenmethode für TR IT gelten soll, ab welchem Stichtag und mit welchem Kontrollnachweis. Den bestehenden StockPrice-Weg nicht blockieren, solange keine andere Methode freigegeben ist.</t>
  </si>
  <si>
    <t>Paolas Entscheidung zu Methode, Stichtag und Nachweis ist dokumentiert und die gewählte Einstellung beziehungsweise Folgeumsetzung ist bestätigt.</t>
  </si>
  <si>
    <t>Budget-CHF soll eine zusätzliche Kontrollsicht sein und die führenden Local-Currency-Werte nicht ersetzen. Offen sind die verbindlichen Jahreskurse und deren Freigabe, Pflegeverantwortung, Spaltenumfang, Verhalten bei fehlenden Kursen, Rundung und Anzeigeort.</t>
  </si>
  <si>
    <t>Finance bestätigt die Budgetkurse 2025/2026 und den Owner, wählt die sichtbaren Excel-/Dashboard-Spalten, legt das Fehlkursverhalten und die Rundung fest und bestimmt die Ansichten. Zusätzlich DE-Jahreswechsel und gewünschten Kontrollnachweis klären.</t>
  </si>
  <si>
    <t>Ein freigegebener Beschluss mit Kursen, Owner, Pflegeprozess, Fehlkursregel, Rundung und Anzeigeorten liegt vor; erst dann wird die Reporting-Sicht umgesetzt beziehungsweise abgenommen.</t>
  </si>
  <si>
    <t>Das HR-Cockpit verarbeitet bisher einen einmaligen manuellen REXX-Datenstand. Eine externe Firma baut einen periodischen Exporter; ohne dessen Ablagepfad, Format und Frequenz kann die automatische Auswertung nicht belastbar angebunden werden.</t>
  </si>
  <si>
    <t>Fertigstellung des externen Exporters abwarten und danach Schnittstelle, Dateinamensschema, Format, Aktualisierungsrhythmus, Datenschutz/Berechtigungen und Fehlerverhalten dokumentieren. Anschließend Import und Aktualisierung planen.</t>
  </si>
  <si>
    <t>Ein stabiler Testexport samt Schnittstellenbeschreibung liegt vor und das HR-Cockpit verarbeitet einen neuen Lauf automatisch mit plausibler Aktualisierungs- und Fehleranzeige.</t>
  </si>
  <si>
    <t>Der Lagerwert für Einkaufsteile ist technisch teilweise umgesetzt und nutzt die Disponenten 001 bis 005. Die Zahl ist noch nicht fachlich freigegeben, weil der Abgleich gegen SAP MB5L und der vollständige produktive Datenlauf fehlen.</t>
  </si>
  <si>
    <t>MB5L für denselben Stichtag und Bewertungsumfang gegen die Dashboard-Summe abgleichen. Danach den serverseitigen Einkauf-Lauf ausführen und die Kette SAP-Quelle, Cache und Anzeige mit Summen und Zeitstempeln nachweisen.</t>
  </si>
  <si>
    <t>MB5L und Dashboard stimmen für den vereinbarten Umfang nachvollziehbar überein und ein erfolgreicher produktiver Lauf belegt die vollständige Datenkette.</t>
  </si>
  <si>
    <t>Alle deutschen Verkaufszeilen enthalten Kundennummern, aber weder Kundenname noch Kundenland. Dadurch kann das Railway-Segment für Deutschland nicht über die Marktumfrage zugeordnet werden; eine Null im Export wäre irreführend.</t>
  </si>
  <si>
    <t>Auf dem Alphaplan-System einen read-only INFORMATION_SCHEMA-Auszug für Adress-, Kunden- und Rechnungsbezug holen. Danach die reale Beziehung von RechnungsAdressenID zum Kundennamen in der eigenen Export-SQL ergänzen; keine Tabellen- oder Feldnamen raten.</t>
  </si>
  <si>
    <t>TRDE liefert Kundennamen, der Railway-Abgleich erzeugt deutsche Vorschläge und Stichproben verbinden Kundennummer, Name und Umsatz korrekt.</t>
  </si>
  <si>
    <t>Die Anwendung hat 173 Railway-Kundenvorschläge erzeugt, aber noch keiner ist fachlich bestätigt. Unbestätigte Vorschläge fließen bewusst nicht in den Umsatz ein; besonders breit tätige Kunden wie Siemens benötigen Vertriebswissen.</t>
  </si>
  <si>
    <t>Patrik prüft zuerst die 30 mengenstärksten Vorschläge, bestätigt oder verwirft sie und entscheidet Zweifelsfälle anhand der tatsächlichen Kundenanwendung. Alternativ pflegt er die Zuordnung direkt selbst.</t>
  </si>
  <si>
    <t>Die priorisierten Vorschläge sind fachlich bewertet und die bestätigten Kunden erscheinen mit nachvollziehbarem Railway-Umsatz im Ergebnis.</t>
  </si>
  <si>
    <t>Rohail Munir benötigt den Railway-Export bis 08.09.2026. Das Exportwerkzeug ist produktiv, aber ohne bestätigte Kundenzuordnungen bleibt das Ergebnis leer; Deutschland ist zusätzlich wegen fehlender Kundennamen blockiert.</t>
  </si>
  <si>
    <t>Nach Patriks Bestätigung den Excel-Export erzeugen und die Summen je Land prüfen. Falls Deutschland bis zum Termin nicht lösbar ist, die Lücke sichtbar im Export und in der Übergabe benennen statt still null Umsatz auszuweisen.</t>
  </si>
  <si>
    <t>Rohail erhält bis zum Termin eine geprüfte Datei mit bestätigten Zuordnungen und einem transparenten Hinweis zu jeder verbleibenden Datenlücke, insbesondere Deutschland.</t>
  </si>
  <si>
    <t>Die Arbeitsmappe zur Standortkostenlogik entspricht noch nicht vollständig dem in der Sitzung bestätigten Ablauf. Sales Type, der Weg ohne Lieferant und die Währungsbehandlung sind darin nicht an der richtigen Stelle beziehungsweise fehlen.</t>
  </si>
  <si>
    <t>Sales Type in den oberen Entscheidungsblock verschieben, den Zweig ohne Lieferant und die Währungszeile ergänzen und gegen das aktuelle Workflow-SVG prüfen. Danach Sales_All neu erzeugen und Beispiele gegen Gruppenmarge Details vergleichen.</t>
  </si>
  <si>
    <t>Arbeitsmappe, Workflow-SVG und produktive Logik zeigen dieselbe Regelkette; ein neu erzeugtes Sales_All bestätigt die Beispiele ohne Widerspruch.</t>
  </si>
  <si>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</si>
  <si>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</si>
  <si>
    <t>Die echte Fallzahl ist belegt, Andreas hat die Schutzregel freigegeben und Tests zeigen, dass kein interner Verrechnungspreis unbemerkt als lokale Herstellkostenbasis verwendet wird.</t>
  </si>
  <si>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</si>
  <si>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</si>
  <si>
    <t>Andreas hat die enge Regel bestätigt oder einen getrennten breiten Modus beauftragt; Schaltertext, Dokumentation und produktives Verhalten sind damit fachlich eindeutig.</t>
  </si>
  <si>
    <t>41 Verkaufszeilen sind widersprüchlich klassifiziert: Sales Type FFM sagt Eigenfertigung, gleichzeitig ist Cenlub Systems als externer Lieferant eingetragen. Alle Konflikte betreffen denselben Lieferanten und sind daher gezielt prüfbar.</t>
  </si>
  <si>
    <t>Indien anhand der betroffenen Artikel bestätigen lassen, ob es Eigenfertigung mit historisch/falsch gepflegtem Preferred Vendor oder echte Fremdbeschaffung mit falschem Sales Type ist. Danach das falsche Stammfeld korrigieren und neu exportieren.</t>
  </si>
  <si>
    <t>Indien hat die Artikel fachlich eingeordnet, der widersprüchliche Stammwert ist korrigiert und der nächste Export zeigt keine ungeklärten FFM/Cenlub-Konflikte mehr.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</si>
</sst>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rgb="FF000000"/>
      <name val="Calibri"/>
      <family val="2"/>
    </font>
    <font>
      <b/>
      <sz val="11"/>
      <color rgb="FFFFFFFF"/>
      <name val="Calibri"/>
      <family val="2"/>
    </font>
    <font>
      <b/>
      <sz val="11"/>
      <color rgb="FF000000"/>
      <name val="Calibri"/>
      <family val="2"/>
    </font>
    <font>
      <sz val="11"/>
      <color rgb="FF505050"/>
      <name val="Calibri"/>
      <family val="2"/>
    </font>
    <font>
      <b/>
      <sz val="11"/>
      <color rgb="FF9C5700"/>
      <name val="Calibri"/>
      <family val="2"/>
    </font>
    <font>
      <b/>
      <sz val="11"/>
      <color rgb="FF1F4E79"/>
      <name val="Calibri"/>
      <family val="2"/>
    </font>
    <font>
      <b/>
      <strike/>
      <sz val="11"/>
      <color rgb="FF828282"/>
      <name val="Calibri"/>
      <family val="2"/>
    </font>
    <font>
      <b/>
      <strike/>
      <sz val="11"/>
      <color rgb="FF505050"/>
      <name val="Calibri"/>
      <family val="2"/>
    </font>
    <font>
      <strike/>
      <sz val="11"/>
      <color rgb="FF828282"/>
      <name val="Calibri"/>
      <family val="2"/>
    </font>
    <font>
      <strike/>
      <sz val="11"/>
      <color rgb="FF505050"/>
      <name val="Calibri"/>
      <family val="2"/>
    </font>
    <font>
      <b/>
      <strike/>
      <sz val="11"/>
      <color rgb="FF9C5700"/>
      <name val="Calibri"/>
      <family val="2"/>
    </font>
    <font>
      <b/>
      <sz val="11"/>
      <color rgb="FF006100"/>
      <name val="Calibri"/>
      <family val="2"/>
    </font>
    <font>
      <b/>
      <sz val="11"/>
      <color rgb="FF9C0006"/>
      <name val="Calibri"/>
      <family val="2"/>
    </font>
    <font>
      <b/>
      <sz val="11"/>
      <color rgb="FF9C6500"/>
      <name val="Calibri"/>
      <family val="2"/>
    </font>
    <font>
      <b/>
      <strike/>
      <sz val="11"/>
      <color rgb="FF3C3C3C"/>
      <name val="Calibri"/>
      <family val="2"/>
    </font>
    <font>
      <b/>
      <strike/>
      <sz val="11"/>
      <color rgb="FF1F4E79"/>
      <name val="Calibri"/>
      <family val="2"/>
    </font>
    <font>
      <b/>
      <sz val="11"/>
      <color rgb="FF505050"/>
      <name val="Calibri"/>
      <family val="2"/>
    </font>
    <font>
      <b/>
      <sz val="11"/>
      <color rgb="FFC00000"/>
      <name val="Calibri"/>
      <family val="2"/>
    </font>
    <font>
      <b/>
      <sz val="11"/>
      <color rgb="FF3C3C3C"/>
      <name val="Calibri"/>
      <family val="2"/>
    </font>
    <font>
      <b/>
      <strike/>
      <sz val="11"/>
      <color rgb="FFFFFFFF"/>
      <name val="Calibri"/>
      <family val="2"/>
    </font>
    <font>
      <i/>
      <sz val="11"/>
      <color rgb="FF787878"/>
      <name val="Calibri"/>
      <family val="2"/>
    </font>
    <font>
      <b/>
      <sz val="16"/>
      <color rgb="FFFFFFFF"/>
      <name val="Calibri"/>
      <family val="2"/>
    </font>
    <font>
      <i/>
      <sz val="11"/>
      <color rgb="FF365F91"/>
      <name val="Calibri"/>
      <family val="2"/>
    </font>
  </fonts>
  <fills count="21">
    <fill>
      <patternFill patternType="none"/>
    </fill>
    <fill>
      <patternFill patternType="gray125"/>
    </fill>
    <fill>
      <patternFill patternType="solid">
        <fgColor rgb="FF1F3864"/>
      </patternFill>
    </fill>
    <fill>
      <patternFill patternType="solid">
        <fgColor rgb="FFC00000"/>
      </patternFill>
    </fill>
    <fill>
      <patternFill patternType="solid">
        <fgColor rgb="FFDDEBF7"/>
      </patternFill>
    </fill>
    <fill>
      <patternFill patternType="solid">
        <fgColor rgb="FFFFE6CC"/>
      </patternFill>
    </fill>
    <fill>
      <patternFill patternType="solid">
        <fgColor rgb="FFD6E7FA"/>
      </patternFill>
    </fill>
    <fill>
      <patternFill patternType="solid">
        <fgColor rgb="FFE6E6E6"/>
      </patternFill>
    </fill>
    <fill>
      <patternFill patternType="solid">
        <fgColor rgb="FFC6EFCE"/>
      </patternFill>
    </fill>
    <fill>
      <patternFill patternType="solid">
        <fgColor rgb="FFE9E9E9"/>
      </patternFill>
    </fill>
    <fill>
      <patternFill patternType="solid">
        <fgColor rgb="FFFFC7CE"/>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s>
  <borders count="3">
    <border>
      <left/>
      <right/>
      <top/>
      <bottom/>
      <diagonal/>
    </border>
    <border>
      <left/>
      <right/>
      <top/>
      <bottom style="hair">
        <color rgb="FFD2D2D2"/>
      </bottom>
      <diagonal/>
    </border>
    <border>
      <left/>
      <right/>
      <top/>
      <bottom style="hair">
        <color rgb="FFD3D3D3"/>
      </bottom>
      <diagonal/>
    </border>
  </borders>
  <cellStyleXfs count="1">
    <xf numFmtId="0" fontId="0" fillId="0" borderId="0" applyBorder="0"/>
  </cellStyleXfs>
  <cellXfs count="48">
    <xf numFmtId="0" fontId="0" fillId="0" borderId="0" xfId="0"/>
    <xf numFmtId="0" fontId="22" fillId="16" borderId="0" xfId="0" applyFont="1" applyFill="1"/>
    <xf numFmtId="0" fontId="21" fillId="15" borderId="0" xfId="0" applyFont="1" applyFill="1" applyAlignment="1">
      <alignment vertical="center"/>
    </xf>
    <xf numFmtId="0" fontId="20" fillId="0" borderId="0" xfId="0" applyFont="1"/>
    <xf numFmtId="0" fontId="1" fillId="2" borderId="0" xfId="0" applyFont="1" applyFill="1" applyAlignment="1">
      <alignment vertical="center" wrapText="1"/>
    </xf>
    <xf numFmtId="0" fontId="2" fillId="0" borderId="1" xfId="0" applyFont="1" applyBorder="1" applyAlignment="1">
      <alignment vertical="top"/>
    </xf>
    <xf numFmtId="0" fontId="1" fillId="3" borderId="1" xfId="0" applyFont="1" applyFill="1" applyBorder="1" applyAlignment="1">
      <alignment vertical="top"/>
    </xf>
    <xf numFmtId="0" fontId="0" fillId="4" borderId="1" xfId="0" applyFill="1" applyBorder="1" applyAlignment="1">
      <alignment vertical="top"/>
    </xf>
    <xf numFmtId="0" fontId="3" fillId="0" borderId="1" xfId="0" applyFont="1" applyBorder="1" applyAlignment="1">
      <alignment vertical="top"/>
    </xf>
    <xf numFmtId="0" fontId="0" fillId="0" borderId="1" xfId="0" applyBorder="1" applyAlignment="1">
      <alignment vertical="top" wrapText="1"/>
    </xf>
    <xf numFmtId="0" fontId="0" fillId="0" borderId="1" xfId="0" applyBorder="1" applyAlignment="1">
      <alignment vertical="top"/>
    </xf>
    <xf numFmtId="0" fontId="4" fillId="5" borderId="1" xfId="0" applyFont="1" applyFill="1" applyBorder="1" applyAlignment="1">
      <alignment vertical="top"/>
    </xf>
    <xf numFmtId="0" fontId="5" fillId="6" borderId="1" xfId="0" applyFont="1" applyFill="1" applyBorder="1" applyAlignment="1">
      <alignment vertical="top"/>
    </xf>
    <xf numFmtId="0" fontId="6" fillId="0" borderId="1" xfId="0" applyFont="1" applyBorder="1" applyAlignment="1">
      <alignment vertical="top"/>
    </xf>
    <xf numFmtId="0" fontId="7" fillId="7" borderId="1" xfId="0" applyFont="1" applyFill="1" applyBorder="1" applyAlignment="1">
      <alignment vertical="top"/>
    </xf>
    <xf numFmtId="0" fontId="8" fillId="4" borderId="1" xfId="0" applyFont="1" applyFill="1" applyBorder="1" applyAlignment="1">
      <alignment vertical="top"/>
    </xf>
    <xf numFmtId="0" fontId="9" fillId="0" borderId="1" xfId="0" applyFont="1" applyBorder="1" applyAlignment="1">
      <alignment vertical="top"/>
    </xf>
    <xf numFmtId="0" fontId="8" fillId="0" borderId="1" xfId="0" applyFont="1" applyBorder="1" applyAlignment="1">
      <alignment vertical="top" wrapText="1"/>
    </xf>
    <xf numFmtId="0" fontId="8" fillId="0" borderId="1" xfId="0" applyFont="1" applyBorder="1" applyAlignment="1">
      <alignment vertical="top"/>
    </xf>
    <xf numFmtId="0" fontId="10" fillId="5" borderId="1" xfId="0" applyFont="1" applyFill="1" applyBorder="1" applyAlignment="1">
      <alignment vertical="top"/>
    </xf>
    <xf numFmtId="0" fontId="11" fillId="8" borderId="1" xfId="0" applyFont="1" applyFill="1" applyBorder="1" applyAlignment="1">
      <alignment vertical="top"/>
    </xf>
    <xf numFmtId="0" fontId="0" fillId="9" borderId="1" xfId="0" applyFill="1" applyBorder="1" applyAlignment="1">
      <alignment vertical="top"/>
    </xf>
    <xf numFmtId="0" fontId="12" fillId="10" borderId="1" xfId="0" applyFont="1" applyFill="1" applyBorder="1" applyAlignment="1">
      <alignment vertical="top"/>
    </xf>
    <xf numFmtId="0" fontId="4" fillId="11" borderId="1" xfId="0" applyFont="1" applyFill="1" applyBorder="1" applyAlignment="1">
      <alignment vertical="top"/>
    </xf>
    <xf numFmtId="0" fontId="13" fillId="12" borderId="1" xfId="0" applyFont="1" applyFill="1" applyBorder="1" applyAlignment="1">
      <alignment vertical="top"/>
    </xf>
    <xf numFmtId="0" fontId="10" fillId="11" borderId="1" xfId="0" applyFont="1" applyFill="1" applyBorder="1" applyAlignment="1">
      <alignment vertical="top"/>
    </xf>
    <xf numFmtId="0" fontId="14" fillId="7" borderId="1" xfId="0" applyFont="1" applyFill="1" applyBorder="1" applyAlignment="1">
      <alignment vertical="top"/>
    </xf>
    <xf numFmtId="0" fontId="0" fillId="13" borderId="1" xfId="0" applyFill="1" applyBorder="1" applyAlignment="1">
      <alignment vertical="top"/>
    </xf>
    <xf numFmtId="0" fontId="0" fillId="14" borderId="1" xfId="0" applyFill="1" applyBorder="1" applyAlignment="1">
      <alignment vertical="top"/>
    </xf>
    <xf numFmtId="0" fontId="15" fillId="6" borderId="1" xfId="0" applyFont="1" applyFill="1" applyBorder="1" applyAlignment="1">
      <alignment vertical="top"/>
    </xf>
    <xf numFmtId="0" fontId="16" fillId="7" borderId="1" xfId="0" applyFont="1" applyFill="1" applyBorder="1" applyAlignment="1">
      <alignment vertical="top"/>
    </xf>
    <xf numFmtId="0" fontId="17" fillId="0" borderId="1" xfId="0" applyFont="1" applyBorder="1" applyAlignment="1">
      <alignment vertical="top"/>
    </xf>
    <xf numFmtId="0" fontId="8" fillId="9" borderId="1" xfId="0" applyFont="1" applyFill="1" applyBorder="1" applyAlignment="1">
      <alignment vertical="top"/>
    </xf>
    <xf numFmtId="0" fontId="18" fillId="7" borderId="1" xfId="0" applyFont="1" applyFill="1" applyBorder="1" applyAlignment="1">
      <alignment vertical="top"/>
    </xf>
    <xf numFmtId="0" fontId="19" fillId="3" borderId="1" xfId="0" applyFont="1" applyFill="1" applyBorder="1" applyAlignment="1">
      <alignment vertical="top"/>
    </xf>
    <xf numFmtId="0" fontId="1" fillId="2" borderId="0" xfId="0" applyFont="1" applyFill="1" applyAlignment="1">
      <alignment vertical="center"/>
    </xf>
    <xf numFmtId="0" fontId="16" fillId="0" borderId="1" xfId="0" applyFont="1" applyBorder="1" applyAlignment="1">
      <alignment vertical="top"/>
    </xf>
    <xf numFmtId="9" fontId="0" fillId="0" borderId="1" xfId="0" applyNumberFormat="1" applyBorder="1" applyAlignment="1">
      <alignment horizontal="center" vertical="top"/>
    </xf>
    <xf numFmtId="0" fontId="0" fillId="0" borderId="0" xfId="0" applyAlignment="1">
      <alignment vertical="top" wrapText="1"/>
    </xf>
    <xf numFmtId="0" fontId="1" fillId="2" borderId="0" xfId="0" applyFont="1" applyFill="1"/>
    <xf numFmtId="0" fontId="1" fillId="2" borderId="0" xfId="0" applyFont="1" applyFill="1" applyAlignment="1">
      <alignment vertical="top" wrapText="1"/>
    </xf>
    <xf numFmtId="0" fontId="2" fillId="0" borderId="0" xfId="0" applyFont="1" applyAlignment="1">
      <alignment vertical="top"/>
    </xf>
    <xf numFmtId="0" fontId="0" fillId="0" borderId="0" xfId="0" applyAlignment="1">
      <alignment vertical="top"/>
    </xf>
    <xf numFmtId="0" fontId="0" fillId="0" borderId="2" xfId="0" applyBorder="1" applyAlignment="1">
      <alignment horizontal="left" vertical="top" wrapText="1"/>
    </xf>
    <xf numFmtId="0" fontId="2" fillId="17" borderId="2" xfId="0" applyFont="1" applyFill="1" applyBorder="1" applyAlignment="1">
      <alignment horizontal="left" vertical="top" wrapText="1"/>
    </xf>
    <xf numFmtId="0" fontId="2" fillId="18" borderId="2" xfId="0" applyFont="1" applyFill="1" applyBorder="1" applyAlignment="1">
      <alignment horizontal="left" vertical="top" wrapText="1"/>
    </xf>
    <xf numFmtId="0" fontId="2" fillId="19" borderId="2" xfId="0" applyFont="1" applyFill="1" applyBorder="1" applyAlignment="1">
      <alignment horizontal="left" vertical="top" wrapText="1"/>
    </xf>
    <xf numFmtId="0" fontId="2" fillId="20" borderId="2" xfId="0" applyFont="1" applyFill="1" applyBorder="1" applyAlignment="1">
      <alignment horizontal="left" vertical="top" wrapText="1"/>
    </xf>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OffeneTodoErlaeuterungen" displayName="OffeneTodoErlaeuterungen" ref="A4:J28" totalsRowShown="0">
  <autoFilter ref="A4:J28" xr:uid="{00000000-0009-0000-0100-000001000000}"/>
  <tableColumns count="10">
    <tableColumn id="1" xr3:uid="{00000000-0010-0000-0000-000001000000}" name="Nr." dataDxfId="8"/>
    <tableColumn id="2" xr3:uid="{00000000-0010-0000-0000-000002000000}" name="Dringlichkeit" dataDxfId="7"/>
    <tableColumn id="3" xr3:uid="{00000000-0010-0000-0000-000003000000}" name="Bereich" dataDxfId="6"/>
    <tableColumn id="4" xr3:uid="{00000000-0010-0000-0000-000004000000}" name="ID" dataDxfId="5"/>
    <tableColumn id="5" xr3:uid="{00000000-0010-0000-0000-000005000000}" name="Thema" dataDxfId="4"/>
    <tableColumn id="6" xr3:uid="{00000000-0010-0000-0000-000006000000}" name="Owner" dataDxfId="3"/>
    <tableColumn id="7" xr3:uid="{00000000-0010-0000-0000-000007000000}" name="Status"/>
    <tableColumn id="8" xr3:uid="{00000000-0010-0000-0000-000008000000}" name="Worum geht es?" dataDxfId="2"/>
    <tableColumn id="9" xr3:uid="{00000000-0010-0000-0000-000009000000}" name="Was ist zu tun / zu entscheiden?" dataDxfId="1"/>
    <tableColumn id="10" xr3:uid="{00000000-0010-0000-0000-00000A00000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3"/>
  <sheetViews>
    <sheetView tabSelected="1" workbookViewId="0">
      <pane ySplit="1" topLeftCell="A2" activePane="bottomLeft" state="frozenSplit"/>
      <selection pane="bottomLeft" activeCell="B20" sqref="B20"/>
    </sheetView>
  </sheetViews>
  <sheetFormatPr baseColWidth="10" defaultColWidth="9.140625" defaultRowHeight="15" x14ac:dyDescent="0.25"/>
  <cols>
    <col min="1" max="1" width="10.7109375" customWidth="1"/>
    <col min="2" max="2" width="42.7109375" customWidth="1"/>
    <col min="3" max="3" width="9.7109375" customWidth="1"/>
    <col min="4" max="4" width="13.7109375" customWidth="1"/>
    <col min="5" max="6" width="55.7109375" customWidth="1"/>
  </cols>
  <sheetData>
    <row r="1" spans="1:6" ht="21.95" customHeight="1" x14ac:dyDescent="0.25">
      <c r="A1" s="35" t="s">
        <v>0</v>
      </c>
      <c r="B1" s="35" t="s">
        <v>1</v>
      </c>
      <c r="C1" s="35" t="s">
        <v>2</v>
      </c>
      <c r="D1" s="35" t="s">
        <v>3</v>
      </c>
      <c r="E1" s="35" t="s">
        <v>4</v>
      </c>
      <c r="F1" s="35" t="s">
        <v>5</v>
      </c>
    </row>
    <row r="2" spans="1:6" ht="33.950000000000003" customHeight="1" x14ac:dyDescent="0.25">
      <c r="A2" s="36" t="s">
        <v>6</v>
      </c>
      <c r="B2" s="9" t="s">
        <v>7</v>
      </c>
      <c r="C2" s="6" t="s">
        <v>8</v>
      </c>
      <c r="D2" s="37">
        <v>0.6</v>
      </c>
      <c r="E2" s="9" t="s">
        <v>9</v>
      </c>
      <c r="F2" s="9" t="s">
        <v>10</v>
      </c>
    </row>
    <row r="3" spans="1:6" ht="33.950000000000003" customHeight="1" x14ac:dyDescent="0.25">
      <c r="A3" s="36" t="s">
        <v>11</v>
      </c>
      <c r="B3" s="9" t="s">
        <v>12</v>
      </c>
      <c r="C3" s="11" t="s">
        <v>13</v>
      </c>
      <c r="D3" s="37">
        <v>0.25</v>
      </c>
      <c r="E3" s="9" t="s">
        <v>14</v>
      </c>
      <c r="F3" s="9" t="s">
        <v>15</v>
      </c>
    </row>
    <row r="4" spans="1:6" ht="33.950000000000003" customHeight="1" x14ac:dyDescent="0.25">
      <c r="A4" s="36" t="s">
        <v>16</v>
      </c>
      <c r="B4" s="9" t="s">
        <v>17</v>
      </c>
      <c r="C4" s="6" t="s">
        <v>8</v>
      </c>
      <c r="D4" s="37">
        <v>0.3</v>
      </c>
      <c r="E4" s="9" t="s">
        <v>18</v>
      </c>
      <c r="F4" s="9" t="s">
        <v>19</v>
      </c>
    </row>
    <row r="5" spans="1:6" ht="33.950000000000003" customHeight="1" x14ac:dyDescent="0.25">
      <c r="A5" s="36" t="s">
        <v>20</v>
      </c>
      <c r="B5" s="9" t="s">
        <v>21</v>
      </c>
      <c r="C5" s="11" t="s">
        <v>13</v>
      </c>
      <c r="D5" s="37">
        <v>0.9</v>
      </c>
      <c r="E5" s="9" t="s">
        <v>22</v>
      </c>
      <c r="F5" s="9" t="s">
        <v>23</v>
      </c>
    </row>
    <row r="6" spans="1:6" ht="33.950000000000003" customHeight="1" x14ac:dyDescent="0.25">
      <c r="A6" s="36" t="s">
        <v>24</v>
      </c>
      <c r="B6" s="9" t="s">
        <v>25</v>
      </c>
      <c r="C6" s="11" t="s">
        <v>13</v>
      </c>
      <c r="D6" s="37">
        <v>0.85</v>
      </c>
      <c r="E6" s="9" t="s">
        <v>26</v>
      </c>
      <c r="F6" s="9" t="s">
        <v>27</v>
      </c>
    </row>
    <row r="7" spans="1:6" ht="33.950000000000003" customHeight="1" x14ac:dyDescent="0.25">
      <c r="A7" s="36" t="s">
        <v>28</v>
      </c>
      <c r="B7" s="9" t="s">
        <v>29</v>
      </c>
      <c r="C7" s="11" t="s">
        <v>13</v>
      </c>
      <c r="D7" s="37">
        <v>1</v>
      </c>
      <c r="E7" s="9" t="s">
        <v>30</v>
      </c>
      <c r="F7" s="9" t="s">
        <v>31</v>
      </c>
    </row>
    <row r="8" spans="1:6" ht="33.950000000000003" customHeight="1" x14ac:dyDescent="0.25">
      <c r="A8" s="36" t="s">
        <v>32</v>
      </c>
      <c r="B8" s="9" t="s">
        <v>33</v>
      </c>
      <c r="C8" s="11" t="s">
        <v>13</v>
      </c>
      <c r="D8" s="37">
        <v>0</v>
      </c>
      <c r="E8" s="9" t="s">
        <v>34</v>
      </c>
      <c r="F8" s="9" t="s">
        <v>35</v>
      </c>
    </row>
    <row r="9" spans="1:6" ht="33.950000000000003" customHeight="1" x14ac:dyDescent="0.25">
      <c r="A9" s="36" t="s">
        <v>36</v>
      </c>
      <c r="B9" s="9" t="s">
        <v>37</v>
      </c>
      <c r="C9" s="11" t="s">
        <v>13</v>
      </c>
      <c r="D9" s="37">
        <v>0.8</v>
      </c>
      <c r="E9" s="9" t="s">
        <v>38</v>
      </c>
      <c r="F9" s="9" t="s">
        <v>39</v>
      </c>
    </row>
    <row r="10" spans="1:6" ht="33.950000000000003" customHeight="1" x14ac:dyDescent="0.25">
      <c r="A10" s="36" t="s">
        <v>40</v>
      </c>
      <c r="B10" s="9" t="s">
        <v>41</v>
      </c>
      <c r="C10" s="11" t="s">
        <v>13</v>
      </c>
      <c r="D10" s="37">
        <v>0.75</v>
      </c>
      <c r="E10" s="9" t="s">
        <v>42</v>
      </c>
      <c r="F10" s="9" t="s">
        <v>43</v>
      </c>
    </row>
    <row r="12" spans="1:6" x14ac:dyDescent="0.25">
      <c r="A12" s="3" t="s">
        <v>44</v>
      </c>
      <c r="B12" s="3"/>
      <c r="C12" s="3"/>
      <c r="D12" s="3"/>
      <c r="E12" s="3"/>
      <c r="F12" s="3"/>
    </row>
    <row r="13" spans="1:6" x14ac:dyDescent="0.25">
      <c r="A13" s="3" t="s">
        <v>45</v>
      </c>
      <c r="B13" s="3"/>
      <c r="C13" s="3"/>
      <c r="D13" s="3"/>
      <c r="E13" s="3"/>
      <c r="F13" s="3"/>
    </row>
  </sheetData>
  <mergeCells count="2">
    <mergeCell ref="A12:F12"/>
    <mergeCell ref="A13:F13"/>
  </mergeCells>
  <conditionalFormatting sqref="D2:D10">
    <cfRule type="dataBar" priority="1">
      <dataBar>
        <cfvo type="min"/>
        <cfvo type="max"/>
        <color rgb="FF1F77B4"/>
      </dataBar>
      <extLst>
        <ext xmlns:x14="http://schemas.microsoft.com/office/spreadsheetml/2009/9/main" uri="{B025F937-C7B1-47D3-B67F-A62EFF666E3E}">
          <x14:id>{DBB31A51-2DE9-4ACA-A78C-FA06B7A5E2A6}</x14:id>
        </ext>
      </extLst>
    </cfRule>
  </conditionalFormatting>
  <pageMargins left="0.75" right="0.75" top="0.75" bottom="0.5" header="0.5" footer="0.75"/>
  <extLst>
    <ext xmlns:x14="http://schemas.microsoft.com/office/spreadsheetml/2009/9/main" uri="{78C0D931-6437-407d-A8EE-F0AAD7539E65}">
      <x14:conditionalFormattings>
        <x14:conditionalFormatting xmlns:xm="http://schemas.microsoft.com/office/excel/2006/main">
          <x14:cfRule type="dataBar" id="{DBB31A51-2DE9-4ACA-A78C-FA06B7A5E2A6}">
            <x14:dataBar minLength="0" maxLength="100">
              <x14:cfvo type="autoMin"/>
              <x14:cfvo type="autoMax"/>
              <x14:negativeFillColor rgb="FF1F77B4"/>
              <x14:axisColor rgb="FF000000"/>
            </x14:dataBar>
          </x14:cfRule>
          <xm:sqref>D2:D10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K32"/>
  <sheetViews>
    <sheetView workbookViewId="0">
      <pane xSplit="1" ySplit="1" topLeftCell="B2" activePane="bottomRight" state="frozenSplit"/>
      <selection pane="topRight"/>
      <selection pane="bottomLeft"/>
      <selection pane="bottomRight" activeCell="B2" sqref="B2"/>
    </sheetView>
  </sheetViews>
  <sheetFormatPr baseColWidth="10" defaultColWidth="9.140625" defaultRowHeight="15" x14ac:dyDescent="0.25"/>
  <cols>
    <col min="1" max="1" width="4.7109375" customWidth="1"/>
    <col min="2" max="2" width="22.7109375" customWidth="1"/>
    <col min="3" max="3" width="18.7109375" customWidth="1"/>
    <col min="4" max="4" width="11.7109375" customWidth="1"/>
    <col min="5" max="5" width="32.7109375" customWidth="1"/>
    <col min="6" max="6" width="16.7109375" customWidth="1"/>
    <col min="7" max="7" width="9.7109375" customWidth="1"/>
    <col min="8" max="8" width="16.7109375" customWidth="1"/>
    <col min="9" max="9" width="12.7109375" customWidth="1"/>
    <col min="10" max="10" width="55.7109375" customWidth="1"/>
    <col min="11" max="11" width="13.7109375" customWidth="1"/>
  </cols>
  <sheetData>
    <row r="1" spans="1:11" ht="26.1" customHeight="1" x14ac:dyDescent="0.25">
      <c r="A1" s="4" t="s">
        <v>46</v>
      </c>
      <c r="B1" s="4" t="s">
        <v>47</v>
      </c>
      <c r="C1" s="4" t="s">
        <v>48</v>
      </c>
      <c r="D1" s="4" t="s">
        <v>0</v>
      </c>
      <c r="E1" s="4" t="s">
        <v>1</v>
      </c>
      <c r="F1" s="4" t="s">
        <v>49</v>
      </c>
      <c r="G1" s="4" t="s">
        <v>2</v>
      </c>
      <c r="H1" s="4" t="s">
        <v>50</v>
      </c>
      <c r="I1" s="4" t="s">
        <v>51</v>
      </c>
      <c r="J1" s="4" t="s">
        <v>52</v>
      </c>
      <c r="K1" s="4" t="s">
        <v>53</v>
      </c>
    </row>
    <row r="2" spans="1:11" x14ac:dyDescent="0.25">
      <c r="A2" s="5" t="s">
        <v>72</v>
      </c>
      <c r="B2" s="23" t="s">
        <v>73</v>
      </c>
      <c r="C2" s="7" t="s">
        <v>74</v>
      </c>
      <c r="D2" s="8" t="s">
        <v>75</v>
      </c>
      <c r="E2" s="9" t="s">
        <v>76</v>
      </c>
      <c r="F2" s="10" t="s">
        <v>77</v>
      </c>
      <c r="G2" s="6" t="s">
        <v>8</v>
      </c>
      <c r="H2" s="11" t="s">
        <v>78</v>
      </c>
      <c r="I2" s="10" t="s">
        <v>60</v>
      </c>
      <c r="J2" s="9" t="s">
        <v>79</v>
      </c>
      <c r="K2" s="10" t="s">
        <v>60</v>
      </c>
    </row>
    <row r="3" spans="1:11" hidden="1" x14ac:dyDescent="0.25">
      <c r="A3" s="13" t="s">
        <v>62</v>
      </c>
      <c r="B3" s="14" t="s">
        <v>63</v>
      </c>
      <c r="C3" s="15" t="s">
        <v>56</v>
      </c>
      <c r="D3" s="16" t="s">
        <v>64</v>
      </c>
      <c r="E3" s="17" t="s">
        <v>65</v>
      </c>
      <c r="F3" s="18" t="s">
        <v>58</v>
      </c>
      <c r="G3" s="19" t="s">
        <v>13</v>
      </c>
      <c r="H3" s="20" t="s">
        <v>66</v>
      </c>
      <c r="I3" s="18" t="s">
        <v>60</v>
      </c>
      <c r="J3" s="17" t="s">
        <v>67</v>
      </c>
      <c r="K3" s="18" t="s">
        <v>60</v>
      </c>
    </row>
    <row r="4" spans="1:11" hidden="1" x14ac:dyDescent="0.25">
      <c r="A4" s="5" t="s">
        <v>68</v>
      </c>
      <c r="B4" s="6" t="s">
        <v>55</v>
      </c>
      <c r="C4" s="21" t="s">
        <v>69</v>
      </c>
      <c r="D4" s="8" t="s">
        <v>11</v>
      </c>
      <c r="E4" s="9" t="s">
        <v>70</v>
      </c>
      <c r="F4" s="10" t="s">
        <v>58</v>
      </c>
      <c r="G4" s="11" t="s">
        <v>13</v>
      </c>
      <c r="H4" s="22" t="s">
        <v>71</v>
      </c>
      <c r="I4" s="10" t="s">
        <v>60</v>
      </c>
      <c r="J4" s="9" t="s">
        <v>15</v>
      </c>
      <c r="K4" s="10" t="s">
        <v>60</v>
      </c>
    </row>
    <row r="5" spans="1:11" ht="45" x14ac:dyDescent="0.25">
      <c r="A5" s="5" t="s">
        <v>80</v>
      </c>
      <c r="B5" s="23" t="s">
        <v>73</v>
      </c>
      <c r="C5" s="7" t="s">
        <v>81</v>
      </c>
      <c r="D5" s="8" t="s">
        <v>82</v>
      </c>
      <c r="E5" s="9" t="s">
        <v>83</v>
      </c>
      <c r="F5" s="10" t="s">
        <v>84</v>
      </c>
      <c r="G5" s="6" t="s">
        <v>8</v>
      </c>
      <c r="H5" s="11" t="s">
        <v>85</v>
      </c>
      <c r="I5" s="10" t="s">
        <v>60</v>
      </c>
      <c r="J5" s="9" t="s">
        <v>86</v>
      </c>
      <c r="K5" s="10" t="s">
        <v>60</v>
      </c>
    </row>
    <row r="6" spans="1:11" ht="30" x14ac:dyDescent="0.25">
      <c r="A6" s="5" t="s">
        <v>103</v>
      </c>
      <c r="B6" s="6" t="s">
        <v>55</v>
      </c>
      <c r="C6" s="21" t="s">
        <v>104</v>
      </c>
      <c r="D6" s="8" t="s">
        <v>6</v>
      </c>
      <c r="E6" s="9" t="s">
        <v>105</v>
      </c>
      <c r="F6" s="10" t="s">
        <v>58</v>
      </c>
      <c r="G6" s="6" t="s">
        <v>8</v>
      </c>
      <c r="H6" s="24" t="s">
        <v>91</v>
      </c>
      <c r="I6" s="10" t="s">
        <v>60</v>
      </c>
      <c r="J6" s="9" t="s">
        <v>106</v>
      </c>
      <c r="K6" s="10" t="s">
        <v>60</v>
      </c>
    </row>
    <row r="7" spans="1:11" ht="30" x14ac:dyDescent="0.25">
      <c r="A7" s="5" t="s">
        <v>107</v>
      </c>
      <c r="B7" s="6" t="s">
        <v>55</v>
      </c>
      <c r="C7" s="21" t="s">
        <v>104</v>
      </c>
      <c r="D7" s="8" t="s">
        <v>6</v>
      </c>
      <c r="E7" s="9" t="s">
        <v>108</v>
      </c>
      <c r="F7" s="10" t="s">
        <v>58</v>
      </c>
      <c r="G7" s="6" t="s">
        <v>8</v>
      </c>
      <c r="H7" s="24" t="s">
        <v>91</v>
      </c>
      <c r="I7" s="10" t="s">
        <v>60</v>
      </c>
      <c r="J7" s="9" t="s">
        <v>109</v>
      </c>
      <c r="K7" s="10" t="s">
        <v>60</v>
      </c>
    </row>
    <row r="8" spans="1:11" ht="30" x14ac:dyDescent="0.25">
      <c r="A8" s="5" t="s">
        <v>110</v>
      </c>
      <c r="B8" s="6" t="s">
        <v>55</v>
      </c>
      <c r="C8" s="21" t="s">
        <v>111</v>
      </c>
      <c r="D8" s="8" t="s">
        <v>16</v>
      </c>
      <c r="E8" s="9" t="s">
        <v>112</v>
      </c>
      <c r="F8" s="10" t="s">
        <v>58</v>
      </c>
      <c r="G8" s="6" t="s">
        <v>8</v>
      </c>
      <c r="H8" s="12" t="s">
        <v>59</v>
      </c>
      <c r="I8" s="10" t="s">
        <v>60</v>
      </c>
      <c r="J8" s="9" t="s">
        <v>113</v>
      </c>
      <c r="K8" s="10" t="s">
        <v>60</v>
      </c>
    </row>
    <row r="9" spans="1:11" ht="45" hidden="1" x14ac:dyDescent="0.25">
      <c r="A9" s="13" t="s">
        <v>98</v>
      </c>
      <c r="B9" s="25" t="s">
        <v>73</v>
      </c>
      <c r="C9" s="15" t="s">
        <v>81</v>
      </c>
      <c r="D9" s="16" t="s">
        <v>99</v>
      </c>
      <c r="E9" s="17" t="s">
        <v>100</v>
      </c>
      <c r="F9" s="18" t="s">
        <v>84</v>
      </c>
      <c r="G9" s="26" t="s">
        <v>101</v>
      </c>
      <c r="H9" s="20" t="s">
        <v>66</v>
      </c>
      <c r="I9" s="18" t="s">
        <v>60</v>
      </c>
      <c r="J9" s="17" t="s">
        <v>102</v>
      </c>
      <c r="K9" s="18" t="s">
        <v>60</v>
      </c>
    </row>
    <row r="10" spans="1:11" ht="30" x14ac:dyDescent="0.25">
      <c r="A10" s="5" t="s">
        <v>114</v>
      </c>
      <c r="B10" s="6" t="s">
        <v>55</v>
      </c>
      <c r="C10" s="21" t="s">
        <v>111</v>
      </c>
      <c r="D10" s="8" t="s">
        <v>16</v>
      </c>
      <c r="E10" s="9" t="s">
        <v>115</v>
      </c>
      <c r="F10" s="10" t="s">
        <v>58</v>
      </c>
      <c r="G10" s="6" t="s">
        <v>8</v>
      </c>
      <c r="H10" s="24" t="s">
        <v>91</v>
      </c>
      <c r="I10" s="10" t="s">
        <v>60</v>
      </c>
      <c r="J10" s="9" t="s">
        <v>116</v>
      </c>
      <c r="K10" s="10" t="s">
        <v>60</v>
      </c>
    </row>
    <row r="11" spans="1:11" ht="30" x14ac:dyDescent="0.25">
      <c r="A11" s="5" t="s">
        <v>180</v>
      </c>
      <c r="B11" s="6" t="s">
        <v>55</v>
      </c>
      <c r="C11" s="10" t="s">
        <v>175</v>
      </c>
      <c r="D11" s="8" t="s">
        <v>176</v>
      </c>
      <c r="E11" s="9" t="s">
        <v>181</v>
      </c>
      <c r="F11" s="10" t="s">
        <v>182</v>
      </c>
      <c r="G11" s="6" t="s">
        <v>8</v>
      </c>
      <c r="H11" s="24" t="s">
        <v>91</v>
      </c>
      <c r="I11" s="31" t="s">
        <v>178</v>
      </c>
      <c r="J11" s="9" t="s">
        <v>183</v>
      </c>
      <c r="K11" s="10" t="s">
        <v>60</v>
      </c>
    </row>
    <row r="12" spans="1:11" ht="30" x14ac:dyDescent="0.25">
      <c r="A12" s="5" t="s">
        <v>184</v>
      </c>
      <c r="B12" s="30" t="s">
        <v>63</v>
      </c>
      <c r="C12" s="10" t="s">
        <v>175</v>
      </c>
      <c r="D12" s="8" t="s">
        <v>176</v>
      </c>
      <c r="E12" s="9" t="s">
        <v>185</v>
      </c>
      <c r="F12" s="10" t="s">
        <v>58</v>
      </c>
      <c r="G12" s="6" t="s">
        <v>8</v>
      </c>
      <c r="H12" s="11" t="s">
        <v>78</v>
      </c>
      <c r="I12" s="31" t="s">
        <v>178</v>
      </c>
      <c r="J12" s="9" t="s">
        <v>186</v>
      </c>
      <c r="K12" s="10" t="s">
        <v>60</v>
      </c>
    </row>
    <row r="13" spans="1:11" ht="120" x14ac:dyDescent="0.25">
      <c r="A13" s="5" t="s">
        <v>194</v>
      </c>
      <c r="B13" s="6" t="s">
        <v>55</v>
      </c>
      <c r="C13" s="7" t="s">
        <v>88</v>
      </c>
      <c r="D13" s="8" t="s">
        <v>36</v>
      </c>
      <c r="E13" s="9" t="s">
        <v>195</v>
      </c>
      <c r="F13" s="10" t="s">
        <v>196</v>
      </c>
      <c r="G13" s="6" t="s">
        <v>8</v>
      </c>
      <c r="H13" s="24" t="s">
        <v>91</v>
      </c>
      <c r="I13" s="10" t="s">
        <v>60</v>
      </c>
      <c r="J13" s="9" t="s">
        <v>197</v>
      </c>
      <c r="K13" s="10" t="s">
        <v>60</v>
      </c>
    </row>
    <row r="14" spans="1:11" ht="105" x14ac:dyDescent="0.25">
      <c r="A14" s="5" t="s">
        <v>54</v>
      </c>
      <c r="B14" s="6" t="s">
        <v>55</v>
      </c>
      <c r="C14" s="7" t="s">
        <v>56</v>
      </c>
      <c r="D14" s="8" t="s">
        <v>40</v>
      </c>
      <c r="E14" s="9" t="s">
        <v>57</v>
      </c>
      <c r="F14" s="10" t="s">
        <v>58</v>
      </c>
      <c r="G14" s="11" t="s">
        <v>13</v>
      </c>
      <c r="H14" s="12" t="s">
        <v>59</v>
      </c>
      <c r="I14" s="10" t="s">
        <v>60</v>
      </c>
      <c r="J14" s="9" t="s">
        <v>61</v>
      </c>
      <c r="K14" s="10" t="s">
        <v>60</v>
      </c>
    </row>
    <row r="15" spans="1:11" ht="30" hidden="1" x14ac:dyDescent="0.25">
      <c r="A15" s="13" t="s">
        <v>123</v>
      </c>
      <c r="B15" s="14" t="s">
        <v>63</v>
      </c>
      <c r="C15" s="15" t="s">
        <v>124</v>
      </c>
      <c r="D15" s="16" t="s">
        <v>125</v>
      </c>
      <c r="E15" s="17" t="s">
        <v>126</v>
      </c>
      <c r="F15" s="18" t="s">
        <v>127</v>
      </c>
      <c r="G15" s="19" t="s">
        <v>13</v>
      </c>
      <c r="H15" s="20" t="s">
        <v>66</v>
      </c>
      <c r="I15" s="18" t="s">
        <v>60</v>
      </c>
      <c r="J15" s="17" t="s">
        <v>128</v>
      </c>
      <c r="K15" s="18" t="s">
        <v>60</v>
      </c>
    </row>
    <row r="16" spans="1:11" x14ac:dyDescent="0.25">
      <c r="A16" s="5" t="s">
        <v>87</v>
      </c>
      <c r="B16" s="23" t="s">
        <v>73</v>
      </c>
      <c r="C16" s="7" t="s">
        <v>88</v>
      </c>
      <c r="D16" s="8" t="s">
        <v>89</v>
      </c>
      <c r="E16" s="9" t="s">
        <v>90</v>
      </c>
      <c r="F16" s="10" t="s">
        <v>84</v>
      </c>
      <c r="G16" s="11" t="s">
        <v>13</v>
      </c>
      <c r="H16" s="24" t="s">
        <v>91</v>
      </c>
      <c r="I16" s="10" t="s">
        <v>60</v>
      </c>
      <c r="J16" s="9" t="s">
        <v>92</v>
      </c>
      <c r="K16" s="10" t="s">
        <v>60</v>
      </c>
    </row>
    <row r="17" spans="1:11" x14ac:dyDescent="0.25">
      <c r="A17" s="5" t="s">
        <v>93</v>
      </c>
      <c r="B17" s="23" t="s">
        <v>73</v>
      </c>
      <c r="C17" s="7" t="s">
        <v>94</v>
      </c>
      <c r="D17" s="8" t="s">
        <v>95</v>
      </c>
      <c r="E17" s="9" t="s">
        <v>96</v>
      </c>
      <c r="F17" s="10" t="s">
        <v>84</v>
      </c>
      <c r="G17" s="11" t="s">
        <v>13</v>
      </c>
      <c r="H17" s="24" t="s">
        <v>91</v>
      </c>
      <c r="I17" s="10" t="s">
        <v>60</v>
      </c>
      <c r="J17" s="9" t="s">
        <v>97</v>
      </c>
      <c r="K17" s="10" t="s">
        <v>60</v>
      </c>
    </row>
    <row r="18" spans="1:11" ht="60" x14ac:dyDescent="0.25">
      <c r="A18" s="5" t="s">
        <v>117</v>
      </c>
      <c r="B18" s="12" t="s">
        <v>118</v>
      </c>
      <c r="C18" s="7" t="s">
        <v>119</v>
      </c>
      <c r="D18" s="8" t="s">
        <v>120</v>
      </c>
      <c r="E18" s="9" t="s">
        <v>121</v>
      </c>
      <c r="F18" s="10" t="s">
        <v>58</v>
      </c>
      <c r="G18" s="11" t="s">
        <v>13</v>
      </c>
      <c r="H18" s="24" t="s">
        <v>91</v>
      </c>
      <c r="I18" s="10" t="s">
        <v>60</v>
      </c>
      <c r="J18" s="9" t="s">
        <v>122</v>
      </c>
      <c r="K18" s="10" t="s">
        <v>60</v>
      </c>
    </row>
    <row r="19" spans="1:11" ht="30" hidden="1" x14ac:dyDescent="0.25">
      <c r="A19" s="13" t="s">
        <v>142</v>
      </c>
      <c r="B19" s="29" t="s">
        <v>118</v>
      </c>
      <c r="C19" s="15" t="s">
        <v>124</v>
      </c>
      <c r="D19" s="16" t="s">
        <v>143</v>
      </c>
      <c r="E19" s="17" t="s">
        <v>144</v>
      </c>
      <c r="F19" s="18" t="s">
        <v>127</v>
      </c>
      <c r="G19" s="26" t="s">
        <v>101</v>
      </c>
      <c r="H19" s="20" t="s">
        <v>66</v>
      </c>
      <c r="I19" s="18" t="s">
        <v>60</v>
      </c>
      <c r="J19" s="17" t="s">
        <v>145</v>
      </c>
      <c r="K19" s="18" t="s">
        <v>146</v>
      </c>
    </row>
    <row r="20" spans="1:11" x14ac:dyDescent="0.25">
      <c r="A20" s="5" t="s">
        <v>129</v>
      </c>
      <c r="B20" s="12" t="s">
        <v>118</v>
      </c>
      <c r="C20" s="7" t="s">
        <v>81</v>
      </c>
      <c r="D20" s="8" t="s">
        <v>130</v>
      </c>
      <c r="E20" s="9" t="s">
        <v>131</v>
      </c>
      <c r="F20" s="10" t="s">
        <v>132</v>
      </c>
      <c r="G20" s="11" t="s">
        <v>13</v>
      </c>
      <c r="H20" s="24" t="s">
        <v>91</v>
      </c>
      <c r="I20" s="10" t="s">
        <v>60</v>
      </c>
      <c r="J20" s="9" t="s">
        <v>133</v>
      </c>
      <c r="K20" s="10" t="s">
        <v>60</v>
      </c>
    </row>
    <row r="21" spans="1:11" ht="30" hidden="1" x14ac:dyDescent="0.25">
      <c r="A21" s="13" t="s">
        <v>154</v>
      </c>
      <c r="B21" s="14" t="s">
        <v>63</v>
      </c>
      <c r="C21" s="32" t="s">
        <v>155</v>
      </c>
      <c r="D21" s="16" t="s">
        <v>28</v>
      </c>
      <c r="E21" s="17" t="s">
        <v>156</v>
      </c>
      <c r="F21" s="18" t="s">
        <v>157</v>
      </c>
      <c r="G21" s="19" t="s">
        <v>13</v>
      </c>
      <c r="H21" s="20" t="s">
        <v>66</v>
      </c>
      <c r="I21" s="18" t="s">
        <v>60</v>
      </c>
      <c r="J21" s="17" t="s">
        <v>158</v>
      </c>
      <c r="K21" s="18" t="s">
        <v>60</v>
      </c>
    </row>
    <row r="22" spans="1:11" ht="30" x14ac:dyDescent="0.25">
      <c r="A22" s="5" t="s">
        <v>134</v>
      </c>
      <c r="B22" s="12" t="s">
        <v>118</v>
      </c>
      <c r="C22" s="27" t="s">
        <v>135</v>
      </c>
      <c r="D22" s="8" t="s">
        <v>20</v>
      </c>
      <c r="E22" s="9" t="s">
        <v>136</v>
      </c>
      <c r="F22" s="10" t="s">
        <v>58</v>
      </c>
      <c r="G22" s="11" t="s">
        <v>13</v>
      </c>
      <c r="H22" s="24" t="s">
        <v>91</v>
      </c>
      <c r="I22" s="10" t="s">
        <v>60</v>
      </c>
      <c r="J22" s="9" t="s">
        <v>137</v>
      </c>
      <c r="K22" s="10" t="s">
        <v>60</v>
      </c>
    </row>
    <row r="23" spans="1:11" ht="30" x14ac:dyDescent="0.25">
      <c r="A23" s="5" t="s">
        <v>138</v>
      </c>
      <c r="B23" s="12" t="s">
        <v>118</v>
      </c>
      <c r="C23" s="28" t="s">
        <v>139</v>
      </c>
      <c r="D23" s="8" t="s">
        <v>36</v>
      </c>
      <c r="E23" s="9" t="s">
        <v>140</v>
      </c>
      <c r="F23" s="10" t="s">
        <v>58</v>
      </c>
      <c r="G23" s="11" t="s">
        <v>13</v>
      </c>
      <c r="H23" s="24" t="s">
        <v>91</v>
      </c>
      <c r="I23" s="10" t="s">
        <v>60</v>
      </c>
      <c r="J23" s="9" t="s">
        <v>141</v>
      </c>
      <c r="K23" s="10" t="s">
        <v>60</v>
      </c>
    </row>
    <row r="24" spans="1:11" x14ac:dyDescent="0.25">
      <c r="A24" s="5" t="s">
        <v>147</v>
      </c>
      <c r="B24" s="30" t="s">
        <v>63</v>
      </c>
      <c r="C24" s="7" t="s">
        <v>148</v>
      </c>
      <c r="D24" s="8" t="s">
        <v>149</v>
      </c>
      <c r="E24" s="9" t="s">
        <v>150</v>
      </c>
      <c r="F24" s="10" t="s">
        <v>151</v>
      </c>
      <c r="G24" s="11" t="s">
        <v>13</v>
      </c>
      <c r="H24" s="24" t="s">
        <v>91</v>
      </c>
      <c r="I24" s="31" t="s">
        <v>152</v>
      </c>
      <c r="J24" s="9" t="s">
        <v>153</v>
      </c>
      <c r="K24" s="10" t="s">
        <v>60</v>
      </c>
    </row>
    <row r="25" spans="1:11" ht="30" hidden="1" x14ac:dyDescent="0.25">
      <c r="A25" s="5" t="s">
        <v>174</v>
      </c>
      <c r="B25" s="6" t="s">
        <v>55</v>
      </c>
      <c r="C25" s="10" t="s">
        <v>175</v>
      </c>
      <c r="D25" s="8" t="s">
        <v>176</v>
      </c>
      <c r="E25" s="9" t="s">
        <v>177</v>
      </c>
      <c r="F25" s="10" t="s">
        <v>58</v>
      </c>
      <c r="G25" s="6" t="s">
        <v>8</v>
      </c>
      <c r="H25" s="22" t="s">
        <v>71</v>
      </c>
      <c r="I25" s="31" t="s">
        <v>178</v>
      </c>
      <c r="J25" s="9" t="s">
        <v>179</v>
      </c>
      <c r="K25" s="10" t="s">
        <v>60</v>
      </c>
    </row>
    <row r="26" spans="1:11" ht="30" x14ac:dyDescent="0.25">
      <c r="A26" s="5" t="s">
        <v>165</v>
      </c>
      <c r="B26" s="30" t="s">
        <v>63</v>
      </c>
      <c r="C26" s="10" t="s">
        <v>166</v>
      </c>
      <c r="D26" s="8" t="s">
        <v>32</v>
      </c>
      <c r="E26" s="9" t="s">
        <v>167</v>
      </c>
      <c r="F26" s="10" t="s">
        <v>58</v>
      </c>
      <c r="G26" s="11" t="s">
        <v>13</v>
      </c>
      <c r="H26" s="24" t="s">
        <v>168</v>
      </c>
      <c r="I26" s="10" t="s">
        <v>60</v>
      </c>
      <c r="J26" s="9" t="s">
        <v>169</v>
      </c>
      <c r="K26" s="10" t="s">
        <v>60</v>
      </c>
    </row>
    <row r="27" spans="1:11" ht="30" x14ac:dyDescent="0.25">
      <c r="A27" s="5" t="s">
        <v>170</v>
      </c>
      <c r="B27" s="6" t="s">
        <v>55</v>
      </c>
      <c r="C27" s="27" t="s">
        <v>135</v>
      </c>
      <c r="D27" s="8" t="s">
        <v>36</v>
      </c>
      <c r="E27" s="9" t="s">
        <v>171</v>
      </c>
      <c r="F27" s="10" t="s">
        <v>58</v>
      </c>
      <c r="G27" s="11" t="s">
        <v>13</v>
      </c>
      <c r="H27" s="24" t="s">
        <v>172</v>
      </c>
      <c r="I27" s="10" t="s">
        <v>60</v>
      </c>
      <c r="J27" s="9" t="s">
        <v>173</v>
      </c>
      <c r="K27" s="10" t="s">
        <v>60</v>
      </c>
    </row>
    <row r="28" spans="1:11" ht="45" hidden="1" x14ac:dyDescent="0.25">
      <c r="A28" s="13" t="s">
        <v>187</v>
      </c>
      <c r="B28" s="34" t="s">
        <v>55</v>
      </c>
      <c r="C28" s="15" t="s">
        <v>188</v>
      </c>
      <c r="D28" s="16" t="s">
        <v>36</v>
      </c>
      <c r="E28" s="17" t="s">
        <v>189</v>
      </c>
      <c r="F28" s="18" t="s">
        <v>58</v>
      </c>
      <c r="G28" s="34" t="s">
        <v>8</v>
      </c>
      <c r="H28" s="20" t="s">
        <v>66</v>
      </c>
      <c r="I28" s="18" t="s">
        <v>60</v>
      </c>
      <c r="J28" s="17" t="s">
        <v>190</v>
      </c>
      <c r="K28" s="18" t="s">
        <v>146</v>
      </c>
    </row>
    <row r="29" spans="1:11" ht="75" x14ac:dyDescent="0.25">
      <c r="A29" s="5" t="s">
        <v>191</v>
      </c>
      <c r="B29" s="12" t="s">
        <v>118</v>
      </c>
      <c r="C29" s="7" t="s">
        <v>188</v>
      </c>
      <c r="D29" s="8" t="s">
        <v>36</v>
      </c>
      <c r="E29" s="9" t="s">
        <v>192</v>
      </c>
      <c r="F29" s="10" t="s">
        <v>58</v>
      </c>
      <c r="G29" s="11" t="s">
        <v>13</v>
      </c>
      <c r="H29" s="24" t="s">
        <v>91</v>
      </c>
      <c r="I29" s="10" t="s">
        <v>60</v>
      </c>
      <c r="J29" s="9" t="s">
        <v>193</v>
      </c>
      <c r="K29" s="10" t="s">
        <v>60</v>
      </c>
    </row>
    <row r="30" spans="1:11" ht="90" x14ac:dyDescent="0.25">
      <c r="A30" s="5" t="s">
        <v>198</v>
      </c>
      <c r="B30" s="12" t="s">
        <v>118</v>
      </c>
      <c r="C30" s="7" t="s">
        <v>188</v>
      </c>
      <c r="D30" s="8" t="s">
        <v>36</v>
      </c>
      <c r="E30" s="9" t="s">
        <v>199</v>
      </c>
      <c r="F30" s="10" t="s">
        <v>200</v>
      </c>
      <c r="G30" s="11" t="s">
        <v>13</v>
      </c>
      <c r="H30" s="24" t="s">
        <v>91</v>
      </c>
      <c r="I30" s="10" t="s">
        <v>60</v>
      </c>
      <c r="J30" s="9" t="s">
        <v>201</v>
      </c>
      <c r="K30" s="10" t="s">
        <v>60</v>
      </c>
    </row>
    <row r="31" spans="1:11" x14ac:dyDescent="0.25">
      <c r="A31" s="5" t="s">
        <v>159</v>
      </c>
      <c r="B31" s="30" t="s">
        <v>63</v>
      </c>
      <c r="C31" s="7" t="s">
        <v>160</v>
      </c>
      <c r="D31" s="8" t="s">
        <v>161</v>
      </c>
      <c r="E31" s="9" t="s">
        <v>162</v>
      </c>
      <c r="F31" s="10" t="s">
        <v>163</v>
      </c>
      <c r="G31" s="33" t="s">
        <v>101</v>
      </c>
      <c r="H31" s="24" t="s">
        <v>91</v>
      </c>
      <c r="I31" s="10" t="s">
        <v>60</v>
      </c>
      <c r="J31" s="9" t="s">
        <v>164</v>
      </c>
      <c r="K31" s="10" t="s">
        <v>60</v>
      </c>
    </row>
    <row r="32" spans="1:11" ht="45" x14ac:dyDescent="0.25">
      <c r="A32" s="5" t="s">
        <v>202</v>
      </c>
      <c r="B32" s="30" t="s">
        <v>63</v>
      </c>
      <c r="C32" s="7" t="s">
        <v>203</v>
      </c>
      <c r="D32" s="8" t="s">
        <v>36</v>
      </c>
      <c r="E32" s="9" t="s">
        <v>204</v>
      </c>
      <c r="F32" s="10" t="s">
        <v>205</v>
      </c>
      <c r="G32" s="33" t="s">
        <v>101</v>
      </c>
      <c r="H32" s="24" t="s">
        <v>91</v>
      </c>
      <c r="I32" s="10" t="s">
        <v>60</v>
      </c>
      <c r="J32" s="9" t="s">
        <v>206</v>
      </c>
      <c r="K32" s="10" t="s">
        <v>60</v>
      </c>
    </row>
  </sheetData>
  <autoFilter ref="A1:K32" xr:uid="{00000000-0009-0000-0000-000001000000}">
    <filterColumn colId="7">
      <filters>
        <filter val="Läuft"/>
        <filter val="Offen"/>
        <filter val="Teil umgesetzt, Nachweis offen"/>
        <filter val="Wartet auf andere"/>
        <filter val="Wartet auf Entscheid"/>
        <filter val="Wartet auf externe Firma"/>
      </filters>
    </filterColumn>
    <sortState xmlns:xlrd2="http://schemas.microsoft.com/office/spreadsheetml/2017/richdata2" ref="A2:K32">
      <sortCondition ref="G1:G32"/>
    </sortState>
  </autoFilter>
  <pageMargins left="0.75" right="0.75" top="0.75" bottom="0.5" header="0.5" footer="0.75"/>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2"/>
  <sheetViews>
    <sheetView workbookViewId="0"/>
  </sheetViews>
  <sheetFormatPr baseColWidth="10" defaultColWidth="9.140625" defaultRowHeight="15" x14ac:dyDescent="0.25"/>
  <cols>
    <col min="1" max="1" width="22.7109375" customWidth="1"/>
    <col min="2" max="2" width="100.7109375" style="38" customWidth="1"/>
  </cols>
  <sheetData>
    <row r="1" spans="1:2" x14ac:dyDescent="0.25">
      <c r="A1" s="39" t="s">
        <v>1</v>
      </c>
      <c r="B1" s="40" t="s">
        <v>207</v>
      </c>
    </row>
    <row r="2" spans="1:2" ht="39.950000000000003" customHeight="1" x14ac:dyDescent="0.25">
      <c r="A2" s="41" t="s">
        <v>208</v>
      </c>
      <c r="B2" s="38" t="s">
        <v>209</v>
      </c>
    </row>
    <row r="3" spans="1:2" ht="39.950000000000003" customHeight="1" x14ac:dyDescent="0.25">
      <c r="A3" s="41" t="s">
        <v>210</v>
      </c>
      <c r="B3" s="38" t="s">
        <v>211</v>
      </c>
    </row>
    <row r="4" spans="1:2" ht="39.950000000000003" customHeight="1" x14ac:dyDescent="0.25">
      <c r="A4" s="41" t="s">
        <v>212</v>
      </c>
      <c r="B4" s="38" t="s">
        <v>213</v>
      </c>
    </row>
    <row r="5" spans="1:2" ht="39.950000000000003" customHeight="1" x14ac:dyDescent="0.25">
      <c r="A5" s="41" t="s">
        <v>214</v>
      </c>
      <c r="B5" s="38" t="s">
        <v>215</v>
      </c>
    </row>
    <row r="6" spans="1:2" ht="39.950000000000003" customHeight="1" x14ac:dyDescent="0.25">
      <c r="A6" s="41" t="s">
        <v>216</v>
      </c>
      <c r="B6" s="38" t="s">
        <v>217</v>
      </c>
    </row>
    <row r="7" spans="1:2" ht="39.950000000000003" customHeight="1" x14ac:dyDescent="0.25">
      <c r="A7" s="41" t="s">
        <v>218</v>
      </c>
      <c r="B7" s="38" t="s">
        <v>219</v>
      </c>
    </row>
    <row r="8" spans="1:2" ht="39.950000000000003" customHeight="1" x14ac:dyDescent="0.25">
      <c r="A8" s="41" t="s">
        <v>220</v>
      </c>
      <c r="B8" s="38" t="s">
        <v>221</v>
      </c>
    </row>
    <row r="9" spans="1:2" ht="39.950000000000003" customHeight="1" x14ac:dyDescent="0.25">
      <c r="A9" s="41" t="s">
        <v>222</v>
      </c>
      <c r="B9" s="38" t="s">
        <v>223</v>
      </c>
    </row>
    <row r="10" spans="1:2" ht="39.950000000000003" customHeight="1" x14ac:dyDescent="0.25">
      <c r="A10" s="41" t="s">
        <v>224</v>
      </c>
      <c r="B10" s="38" t="s">
        <v>225</v>
      </c>
    </row>
    <row r="11" spans="1:2" ht="39.950000000000003" customHeight="1" x14ac:dyDescent="0.25">
      <c r="A11" s="41" t="s">
        <v>226</v>
      </c>
      <c r="B11" s="38" t="s">
        <v>227</v>
      </c>
    </row>
    <row r="12" spans="1:2" ht="39.950000000000003" customHeight="1" x14ac:dyDescent="0.25">
      <c r="A12" s="41" t="s">
        <v>228</v>
      </c>
      <c r="B12" s="38" t="s">
        <v>229</v>
      </c>
    </row>
  </sheetData>
  <pageMargins left="0.75" right="0.75" top="0.75" bottom="0.5" header="0.5" footer="0.7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4B183"/>
    <pageSetUpPr fitToPage="1"/>
  </sheetPr>
  <dimension ref="A1:J28"/>
  <sheetViews>
    <sheetView workbookViewId="0">
      <pane xSplit="5" ySplit="4" topLeftCell="F5" activePane="bottomRight" state="frozenSplit"/>
      <selection pane="topRight"/>
      <selection pane="bottomLeft"/>
      <selection pane="bottomRight" activeCell="F5" sqref="F5"/>
    </sheetView>
  </sheetViews>
  <sheetFormatPr baseColWidth="10" defaultColWidth="9.140625" defaultRowHeight="15" x14ac:dyDescent="0.25"/>
  <cols>
    <col min="1" max="1" width="6.7109375" customWidth="1"/>
    <col min="2" max="2" width="20.7109375" customWidth="1"/>
    <col min="3" max="3" width="22.7109375" customWidth="1"/>
    <col min="4" max="4" width="13.7109375" customWidth="1"/>
    <col min="5" max="5" width="34.7109375" customWidth="1"/>
    <col min="6" max="6" width="20.7109375" customWidth="1"/>
    <col min="7" max="7" width="21.7109375" customWidth="1"/>
    <col min="8" max="8" width="62.7109375" customWidth="1"/>
    <col min="9" max="9" width="66.7109375" customWidth="1"/>
    <col min="10" max="10" width="55.7109375" customWidth="1"/>
  </cols>
  <sheetData>
    <row r="1" spans="1:10" ht="27.95" customHeight="1" x14ac:dyDescent="0.25">
      <c r="A1" s="2" t="s">
        <v>230</v>
      </c>
      <c r="B1" s="2"/>
      <c r="C1" s="2"/>
      <c r="D1" s="2"/>
      <c r="E1" s="2"/>
      <c r="F1" s="2"/>
      <c r="G1" s="2"/>
      <c r="H1" s="2"/>
      <c r="I1" s="2"/>
      <c r="J1" s="2"/>
    </row>
    <row r="2" spans="1:10" ht="21.95" customHeight="1" x14ac:dyDescent="0.25">
      <c r="A2" s="1" t="s">
        <v>231</v>
      </c>
      <c r="B2" s="1"/>
      <c r="C2" s="1"/>
      <c r="D2" s="1"/>
      <c r="E2" s="1"/>
      <c r="F2" s="1"/>
      <c r="G2" s="1"/>
      <c r="H2" s="1"/>
      <c r="I2" s="1"/>
      <c r="J2" s="1"/>
    </row>
    <row r="4" spans="1:10" ht="32.1" customHeight="1" x14ac:dyDescent="0.25">
      <c r="A4" s="42" t="s">
        <v>232</v>
      </c>
      <c r="B4" s="42" t="s">
        <v>47</v>
      </c>
      <c r="C4" s="42" t="s">
        <v>48</v>
      </c>
      <c r="D4" s="42" t="s">
        <v>0</v>
      </c>
      <c r="E4" s="42" t="s">
        <v>1</v>
      </c>
      <c r="F4" s="42" t="s">
        <v>233</v>
      </c>
      <c r="G4" s="42" t="s">
        <v>50</v>
      </c>
      <c r="H4" s="42" t="s">
        <v>234</v>
      </c>
      <c r="I4" s="42" t="s">
        <v>235</v>
      </c>
      <c r="J4" s="42" t="s">
        <v>236</v>
      </c>
    </row>
    <row r="5" spans="1:10" ht="15" customHeight="1" x14ac:dyDescent="0.25">
      <c r="A5" s="43" t="s">
        <v>68</v>
      </c>
      <c r="B5" s="43" t="s">
        <v>55</v>
      </c>
      <c r="C5" s="43" t="s">
        <v>69</v>
      </c>
      <c r="D5" s="43" t="s">
        <v>11</v>
      </c>
      <c r="E5" s="43" t="s">
        <v>70</v>
      </c>
      <c r="F5" s="43" t="s">
        <v>58</v>
      </c>
      <c r="G5" s="44" t="s">
        <v>71</v>
      </c>
      <c r="H5" s="43" t="s">
        <v>237</v>
      </c>
      <c r="I5" s="43" t="s">
        <v>238</v>
      </c>
      <c r="J5" s="43" t="s">
        <v>239</v>
      </c>
    </row>
    <row r="6" spans="1:10" ht="15" customHeight="1" x14ac:dyDescent="0.25">
      <c r="A6" s="43" t="s">
        <v>72</v>
      </c>
      <c r="B6" s="43" t="s">
        <v>73</v>
      </c>
      <c r="C6" s="43" t="s">
        <v>74</v>
      </c>
      <c r="D6" s="43" t="s">
        <v>75</v>
      </c>
      <c r="E6" s="43" t="s">
        <v>76</v>
      </c>
      <c r="F6" s="43" t="s">
        <v>77</v>
      </c>
      <c r="G6" s="45" t="s">
        <v>78</v>
      </c>
      <c r="H6" s="43" t="s">
        <v>240</v>
      </c>
      <c r="I6" s="43" t="s">
        <v>241</v>
      </c>
      <c r="J6" s="43" t="s">
        <v>242</v>
      </c>
    </row>
    <row r="7" spans="1:10" ht="15" customHeight="1" x14ac:dyDescent="0.25">
      <c r="A7" s="43" t="s">
        <v>80</v>
      </c>
      <c r="B7" s="43" t="s">
        <v>73</v>
      </c>
      <c r="C7" s="43" t="s">
        <v>81</v>
      </c>
      <c r="D7" s="43" t="s">
        <v>82</v>
      </c>
      <c r="E7" s="43" t="s">
        <v>83</v>
      </c>
      <c r="F7" s="43" t="s">
        <v>84</v>
      </c>
      <c r="G7" s="45" t="s">
        <v>85</v>
      </c>
      <c r="H7" s="43" t="s">
        <v>243</v>
      </c>
      <c r="I7" s="43" t="s">
        <v>244</v>
      </c>
      <c r="J7" s="43" t="s">
        <v>245</v>
      </c>
    </row>
    <row r="8" spans="1:10" ht="15" customHeight="1" x14ac:dyDescent="0.25">
      <c r="A8" s="43" t="s">
        <v>87</v>
      </c>
      <c r="B8" s="43" t="s">
        <v>73</v>
      </c>
      <c r="C8" s="43" t="s">
        <v>88</v>
      </c>
      <c r="D8" s="43" t="s">
        <v>89</v>
      </c>
      <c r="E8" s="43" t="s">
        <v>90</v>
      </c>
      <c r="F8" s="43" t="s">
        <v>84</v>
      </c>
      <c r="G8" s="46" t="s">
        <v>91</v>
      </c>
      <c r="H8" s="43" t="s">
        <v>246</v>
      </c>
      <c r="I8" s="43" t="s">
        <v>247</v>
      </c>
      <c r="J8" s="43" t="s">
        <v>248</v>
      </c>
    </row>
    <row r="9" spans="1:10" ht="15" customHeight="1" x14ac:dyDescent="0.25">
      <c r="A9" s="43" t="s">
        <v>93</v>
      </c>
      <c r="B9" s="43" t="s">
        <v>73</v>
      </c>
      <c r="C9" s="43" t="s">
        <v>94</v>
      </c>
      <c r="D9" s="43" t="s">
        <v>95</v>
      </c>
      <c r="E9" s="43" t="s">
        <v>96</v>
      </c>
      <c r="F9" s="43" t="s">
        <v>84</v>
      </c>
      <c r="G9" s="46" t="s">
        <v>91</v>
      </c>
      <c r="H9" s="43" t="s">
        <v>249</v>
      </c>
      <c r="I9" s="43" t="s">
        <v>250</v>
      </c>
      <c r="J9" s="43" t="s">
        <v>251</v>
      </c>
    </row>
    <row r="10" spans="1:10" ht="15" customHeight="1" x14ac:dyDescent="0.25">
      <c r="A10" s="43" t="s">
        <v>103</v>
      </c>
      <c r="B10" s="43" t="s">
        <v>55</v>
      </c>
      <c r="C10" s="43" t="s">
        <v>104</v>
      </c>
      <c r="D10" s="43" t="s">
        <v>6</v>
      </c>
      <c r="E10" s="43" t="s">
        <v>105</v>
      </c>
      <c r="F10" s="43" t="s">
        <v>58</v>
      </c>
      <c r="G10" s="46" t="s">
        <v>91</v>
      </c>
      <c r="H10" s="43" t="s">
        <v>252</v>
      </c>
      <c r="I10" s="43" t="s">
        <v>253</v>
      </c>
      <c r="J10" s="43" t="s">
        <v>254</v>
      </c>
    </row>
    <row r="11" spans="1:10" ht="15" customHeight="1" x14ac:dyDescent="0.25">
      <c r="A11" s="43" t="s">
        <v>107</v>
      </c>
      <c r="B11" s="43" t="s">
        <v>55</v>
      </c>
      <c r="C11" s="43" t="s">
        <v>104</v>
      </c>
      <c r="D11" s="43" t="s">
        <v>6</v>
      </c>
      <c r="E11" s="43" t="s">
        <v>108</v>
      </c>
      <c r="F11" s="43" t="s">
        <v>58</v>
      </c>
      <c r="G11" s="46" t="s">
        <v>91</v>
      </c>
      <c r="H11" s="43" t="s">
        <v>255</v>
      </c>
      <c r="I11" s="43" t="s">
        <v>256</v>
      </c>
      <c r="J11" s="43" t="s">
        <v>257</v>
      </c>
    </row>
    <row r="12" spans="1:10" ht="15" customHeight="1" x14ac:dyDescent="0.25">
      <c r="A12" s="43" t="s">
        <v>110</v>
      </c>
      <c r="B12" s="43" t="s">
        <v>55</v>
      </c>
      <c r="C12" s="43" t="s">
        <v>111</v>
      </c>
      <c r="D12" s="43" t="s">
        <v>16</v>
      </c>
      <c r="E12" s="43" t="s">
        <v>112</v>
      </c>
      <c r="F12" s="43" t="s">
        <v>58</v>
      </c>
      <c r="G12" s="47" t="s">
        <v>59</v>
      </c>
      <c r="H12" s="43" t="s">
        <v>258</v>
      </c>
      <c r="I12" s="43" t="s">
        <v>259</v>
      </c>
      <c r="J12" s="43" t="s">
        <v>260</v>
      </c>
    </row>
    <row r="13" spans="1:10" ht="15" customHeight="1" x14ac:dyDescent="0.25">
      <c r="A13" s="43" t="s">
        <v>114</v>
      </c>
      <c r="B13" s="43" t="s">
        <v>55</v>
      </c>
      <c r="C13" s="43" t="s">
        <v>111</v>
      </c>
      <c r="D13" s="43" t="s">
        <v>16</v>
      </c>
      <c r="E13" s="43" t="s">
        <v>115</v>
      </c>
      <c r="F13" s="43" t="s">
        <v>58</v>
      </c>
      <c r="G13" s="46" t="s">
        <v>91</v>
      </c>
      <c r="H13" s="43" t="s">
        <v>261</v>
      </c>
      <c r="I13" s="43" t="s">
        <v>262</v>
      </c>
      <c r="J13" s="43" t="s">
        <v>263</v>
      </c>
    </row>
    <row r="14" spans="1:10" ht="15" customHeight="1" x14ac:dyDescent="0.25">
      <c r="A14" s="43" t="s">
        <v>117</v>
      </c>
      <c r="B14" s="43" t="s">
        <v>118</v>
      </c>
      <c r="C14" s="43" t="s">
        <v>119</v>
      </c>
      <c r="D14" s="43" t="s">
        <v>120</v>
      </c>
      <c r="E14" s="43" t="s">
        <v>121</v>
      </c>
      <c r="F14" s="43" t="s">
        <v>58</v>
      </c>
      <c r="G14" s="46" t="s">
        <v>91</v>
      </c>
      <c r="H14" s="43" t="s">
        <v>264</v>
      </c>
      <c r="I14" s="43" t="s">
        <v>265</v>
      </c>
      <c r="J14" s="43" t="s">
        <v>266</v>
      </c>
    </row>
    <row r="15" spans="1:10" ht="15" customHeight="1" x14ac:dyDescent="0.25">
      <c r="A15" s="43" t="s">
        <v>129</v>
      </c>
      <c r="B15" s="43" t="s">
        <v>118</v>
      </c>
      <c r="C15" s="43" t="s">
        <v>81</v>
      </c>
      <c r="D15" s="43" t="s">
        <v>130</v>
      </c>
      <c r="E15" s="43" t="s">
        <v>131</v>
      </c>
      <c r="F15" s="43" t="s">
        <v>132</v>
      </c>
      <c r="G15" s="46" t="s">
        <v>91</v>
      </c>
      <c r="H15" s="43" t="s">
        <v>267</v>
      </c>
      <c r="I15" s="43" t="s">
        <v>268</v>
      </c>
      <c r="J15" s="43" t="s">
        <v>269</v>
      </c>
    </row>
    <row r="16" spans="1:10" ht="15" customHeight="1" x14ac:dyDescent="0.25">
      <c r="A16" s="43" t="s">
        <v>134</v>
      </c>
      <c r="B16" s="43" t="s">
        <v>118</v>
      </c>
      <c r="C16" s="43" t="s">
        <v>135</v>
      </c>
      <c r="D16" s="43" t="s">
        <v>20</v>
      </c>
      <c r="E16" s="43" t="s">
        <v>136</v>
      </c>
      <c r="F16" s="43" t="s">
        <v>58</v>
      </c>
      <c r="G16" s="46" t="s">
        <v>91</v>
      </c>
      <c r="H16" s="43" t="s">
        <v>270</v>
      </c>
      <c r="I16" s="43" t="s">
        <v>271</v>
      </c>
      <c r="J16" s="43" t="s">
        <v>272</v>
      </c>
    </row>
    <row r="17" spans="1:10" ht="15" customHeight="1" x14ac:dyDescent="0.25">
      <c r="A17" s="43" t="s">
        <v>138</v>
      </c>
      <c r="B17" s="43" t="s">
        <v>118</v>
      </c>
      <c r="C17" s="43" t="s">
        <v>139</v>
      </c>
      <c r="D17" s="43" t="s">
        <v>36</v>
      </c>
      <c r="E17" s="43" t="s">
        <v>140</v>
      </c>
      <c r="F17" s="43" t="s">
        <v>58</v>
      </c>
      <c r="G17" s="46" t="s">
        <v>91</v>
      </c>
      <c r="H17" s="43" t="s">
        <v>273</v>
      </c>
      <c r="I17" s="43" t="s">
        <v>274</v>
      </c>
      <c r="J17" s="43" t="s">
        <v>275</v>
      </c>
    </row>
    <row r="18" spans="1:10" ht="15" customHeight="1" x14ac:dyDescent="0.25">
      <c r="A18" s="43" t="s">
        <v>147</v>
      </c>
      <c r="B18" s="43" t="s">
        <v>63</v>
      </c>
      <c r="C18" s="43" t="s">
        <v>148</v>
      </c>
      <c r="D18" s="43" t="s">
        <v>149</v>
      </c>
      <c r="E18" s="43" t="s">
        <v>150</v>
      </c>
      <c r="F18" s="43" t="s">
        <v>151</v>
      </c>
      <c r="G18" s="46" t="s">
        <v>91</v>
      </c>
      <c r="H18" s="43" t="s">
        <v>276</v>
      </c>
      <c r="I18" s="43" t="s">
        <v>277</v>
      </c>
      <c r="J18" s="43" t="s">
        <v>278</v>
      </c>
    </row>
    <row r="19" spans="1:10" ht="15" customHeight="1" x14ac:dyDescent="0.25">
      <c r="A19" s="43" t="s">
        <v>159</v>
      </c>
      <c r="B19" s="43" t="s">
        <v>63</v>
      </c>
      <c r="C19" s="43" t="s">
        <v>160</v>
      </c>
      <c r="D19" s="43" t="s">
        <v>161</v>
      </c>
      <c r="E19" s="43" t="s">
        <v>162</v>
      </c>
      <c r="F19" s="43" t="s">
        <v>163</v>
      </c>
      <c r="G19" s="46" t="s">
        <v>91</v>
      </c>
      <c r="H19" s="43" t="s">
        <v>279</v>
      </c>
      <c r="I19" s="43" t="s">
        <v>280</v>
      </c>
      <c r="J19" s="43" t="s">
        <v>281</v>
      </c>
    </row>
    <row r="20" spans="1:10" ht="15" customHeight="1" x14ac:dyDescent="0.25">
      <c r="A20" s="43" t="s">
        <v>165</v>
      </c>
      <c r="B20" s="43" t="s">
        <v>63</v>
      </c>
      <c r="C20" s="43" t="s">
        <v>166</v>
      </c>
      <c r="D20" s="43" t="s">
        <v>32</v>
      </c>
      <c r="E20" s="43" t="s">
        <v>167</v>
      </c>
      <c r="F20" s="43" t="s">
        <v>58</v>
      </c>
      <c r="G20" s="45" t="s">
        <v>168</v>
      </c>
      <c r="H20" s="43" t="s">
        <v>282</v>
      </c>
      <c r="I20" s="43" t="s">
        <v>283</v>
      </c>
      <c r="J20" s="43" t="s">
        <v>284</v>
      </c>
    </row>
    <row r="21" spans="1:10" ht="15" customHeight="1" x14ac:dyDescent="0.25">
      <c r="A21" s="43" t="s">
        <v>170</v>
      </c>
      <c r="B21" s="43" t="s">
        <v>55</v>
      </c>
      <c r="C21" s="43" t="s">
        <v>135</v>
      </c>
      <c r="D21" s="43" t="s">
        <v>36</v>
      </c>
      <c r="E21" s="43" t="s">
        <v>171</v>
      </c>
      <c r="F21" s="43" t="s">
        <v>58</v>
      </c>
      <c r="G21" s="47" t="s">
        <v>172</v>
      </c>
      <c r="H21" s="43" t="s">
        <v>285</v>
      </c>
      <c r="I21" s="43" t="s">
        <v>286</v>
      </c>
      <c r="J21" s="43" t="s">
        <v>287</v>
      </c>
    </row>
    <row r="22" spans="1:10" ht="15" customHeight="1" x14ac:dyDescent="0.25">
      <c r="A22" s="43" t="s">
        <v>174</v>
      </c>
      <c r="B22" s="43" t="s">
        <v>55</v>
      </c>
      <c r="C22" s="43" t="s">
        <v>175</v>
      </c>
      <c r="D22" s="43" t="s">
        <v>176</v>
      </c>
      <c r="E22" s="43" t="s">
        <v>177</v>
      </c>
      <c r="F22" s="43" t="s">
        <v>58</v>
      </c>
      <c r="G22" s="44" t="s">
        <v>71</v>
      </c>
      <c r="H22" s="43" t="s">
        <v>288</v>
      </c>
      <c r="I22" s="43" t="s">
        <v>289</v>
      </c>
      <c r="J22" s="43" t="s">
        <v>290</v>
      </c>
    </row>
    <row r="23" spans="1:10" ht="15" customHeight="1" x14ac:dyDescent="0.25">
      <c r="A23" s="43" t="s">
        <v>180</v>
      </c>
      <c r="B23" s="43" t="s">
        <v>55</v>
      </c>
      <c r="C23" s="43" t="s">
        <v>175</v>
      </c>
      <c r="D23" s="43" t="s">
        <v>176</v>
      </c>
      <c r="E23" s="43" t="s">
        <v>181</v>
      </c>
      <c r="F23" s="43" t="s">
        <v>182</v>
      </c>
      <c r="G23" s="46" t="s">
        <v>91</v>
      </c>
      <c r="H23" s="43" t="s">
        <v>291</v>
      </c>
      <c r="I23" s="43" t="s">
        <v>292</v>
      </c>
      <c r="J23" s="43" t="s">
        <v>293</v>
      </c>
    </row>
    <row r="24" spans="1:10" ht="15" customHeight="1" x14ac:dyDescent="0.25">
      <c r="A24" s="43" t="s">
        <v>184</v>
      </c>
      <c r="B24" s="43" t="s">
        <v>63</v>
      </c>
      <c r="C24" s="43" t="s">
        <v>175</v>
      </c>
      <c r="D24" s="43" t="s">
        <v>176</v>
      </c>
      <c r="E24" s="43" t="s">
        <v>185</v>
      </c>
      <c r="F24" s="43" t="s">
        <v>58</v>
      </c>
      <c r="G24" s="45" t="s">
        <v>78</v>
      </c>
      <c r="H24" s="43" t="s">
        <v>294</v>
      </c>
      <c r="I24" s="43" t="s">
        <v>295</v>
      </c>
      <c r="J24" s="43" t="s">
        <v>296</v>
      </c>
    </row>
    <row r="25" spans="1:10" ht="15" customHeight="1" x14ac:dyDescent="0.25">
      <c r="A25" s="43" t="s">
        <v>191</v>
      </c>
      <c r="B25" s="43" t="s">
        <v>118</v>
      </c>
      <c r="C25" s="43" t="s">
        <v>188</v>
      </c>
      <c r="D25" s="43" t="s">
        <v>36</v>
      </c>
      <c r="E25" s="43" t="s">
        <v>192</v>
      </c>
      <c r="F25" s="43" t="s">
        <v>58</v>
      </c>
      <c r="G25" s="46" t="s">
        <v>91</v>
      </c>
      <c r="H25" s="43" t="s">
        <v>297</v>
      </c>
      <c r="I25" s="43" t="s">
        <v>298</v>
      </c>
      <c r="J25" s="43" t="s">
        <v>299</v>
      </c>
    </row>
    <row r="26" spans="1:10" ht="15" customHeight="1" x14ac:dyDescent="0.25">
      <c r="A26" s="43" t="s">
        <v>194</v>
      </c>
      <c r="B26" s="43" t="s">
        <v>55</v>
      </c>
      <c r="C26" s="43" t="s">
        <v>88</v>
      </c>
      <c r="D26" s="43" t="s">
        <v>36</v>
      </c>
      <c r="E26" s="43" t="s">
        <v>195</v>
      </c>
      <c r="F26" s="43" t="s">
        <v>196</v>
      </c>
      <c r="G26" s="46" t="s">
        <v>91</v>
      </c>
      <c r="H26" s="43" t="s">
        <v>300</v>
      </c>
      <c r="I26" s="43" t="s">
        <v>301</v>
      </c>
      <c r="J26" s="43" t="s">
        <v>302</v>
      </c>
    </row>
    <row r="27" spans="1:10" ht="15" customHeight="1" x14ac:dyDescent="0.25">
      <c r="A27" s="43" t="s">
        <v>198</v>
      </c>
      <c r="B27" s="43" t="s">
        <v>118</v>
      </c>
      <c r="C27" s="43" t="s">
        <v>188</v>
      </c>
      <c r="D27" s="43" t="s">
        <v>36</v>
      </c>
      <c r="E27" s="43" t="s">
        <v>199</v>
      </c>
      <c r="F27" s="43" t="s">
        <v>200</v>
      </c>
      <c r="G27" s="46" t="s">
        <v>91</v>
      </c>
      <c r="H27" s="43" t="s">
        <v>303</v>
      </c>
      <c r="I27" s="43" t="s">
        <v>304</v>
      </c>
      <c r="J27" s="43" t="s">
        <v>305</v>
      </c>
    </row>
    <row r="28" spans="1:10" ht="15" customHeight="1" x14ac:dyDescent="0.25">
      <c r="A28" s="43" t="s">
        <v>202</v>
      </c>
      <c r="B28" s="43" t="s">
        <v>63</v>
      </c>
      <c r="C28" s="43" t="s">
        <v>203</v>
      </c>
      <c r="D28" s="43" t="s">
        <v>36</v>
      </c>
      <c r="E28" s="43" t="s">
        <v>204</v>
      </c>
      <c r="F28" s="43" t="s">
        <v>205</v>
      </c>
      <c r="G28" s="46" t="s">
        <v>91</v>
      </c>
      <c r="H28" s="43" t="s">
        <v>306</v>
      </c>
      <c r="I28" s="43" t="s">
        <v>307</v>
      </c>
      <c r="J28" s="43" t="s">
        <v>308</v>
      </c>
    </row>
  </sheetData>
  <mergeCells count="2">
    <mergeCell ref="A1:J1"/>
    <mergeCell ref="A2:J2"/>
  </mergeCells>
  <pageMargins left="0.3" right="0.3" top="0.4" bottom="0.4" header="0.5" footer="0.75"/>
  <pageSetup fitToHeight="0"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4</vt:i4>
      </vt:variant>
      <vt:variant>
        <vt:lpstr>Benannte Bereiche</vt:lpstr>
      </vt:variant>
      <vt:variant>
        <vt:i4>3</vt:i4>
      </vt:variant>
    </vt:vector>
  </HeadingPairs>
  <TitlesOfParts>
    <vt:vector size="7" baseType="lpstr">
      <vt:lpstr>Zusammenfassung</vt:lpstr>
      <vt:lpstr>Wochen-Todo</vt:lpstr>
      <vt:lpstr>Legende</vt:lpstr>
      <vt:lpstr>Erläuterungen</vt:lpstr>
      <vt:lpstr>'Wochen-Todo'!Druckbereich</vt:lpstr>
      <vt:lpstr>Erläuterungen!Drucktitel</vt:lpstr>
      <vt:lpstr>'Wochen-Todo'!Drucktitel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Kohler, Ingo</cp:lastModifiedBy>
  <dcterms:created xsi:type="dcterms:W3CDTF">2026-09-02T09:18:47Z</dcterms:created>
  <dcterms:modified xsi:type="dcterms:W3CDTF">2026-09-02T12:26:44Z</dcterms:modified>
</cp:coreProperties>
</file>