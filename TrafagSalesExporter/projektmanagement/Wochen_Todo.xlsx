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0" autoFilterDateGrouping="1"/>
  </bookViews>
  <sheets>
    <sheet name="HERMES Übersicht" sheetId="1" state="visible" r:id="rId1"/>
    <sheet name="Zusammenfassung" sheetId="2" state="visible" r:id="rId2"/>
    <sheet name="Wochen-Todo" sheetId="3" state="visible" r:id="rId3"/>
    <sheet name="Legende" sheetId="4" state="visible" r:id="rId4"/>
    <sheet name="Erläuterungen" sheetId="5" state="visible" r:id="rId5"/>
    <sheet name="Vorlage Projektauftrag" sheetId="6" state="visible" r:id="rId6"/>
    <sheet name="Vorlage Abnahmeprotokoll" sheetId="7" state="visible" r:id="rId7"/>
  </sheets>
  <definedNames>
    <definedName name="_xlnm.Print_Titles" localSheetId="0">'HERMES Übersicht'!$7:$7</definedName>
    <definedName name="_xlnm.Print_Area" localSheetId="0">'HERMES Übersicht'!$A$1:$M$33</definedName>
    <definedName name="_xlnm._FilterDatabase" localSheetId="2" hidden="1">'Wochen-Todo'!$A$1:$M$52</definedName>
    <definedName name="_xlnm.Print_Titles" localSheetId="2">'Wochen-Todo'!$1:$1</definedName>
    <definedName name="_xlnm.Print_Area" localSheetId="2">'Wochen-Todo'!$A$1:$K$40</definedName>
    <definedName name="_xlnm.Print_Titles" localSheetId="4">'Erläuterungen'!$1:$4</definedName>
  </definedNames>
  <calcPr calcId="125725" fullCalcOnLoad="1"/>
</workbook>
</file>

<file path=xl/styles.xml><?xml version="1.0" encoding="utf-8"?>
<styleSheet xmlns="http://schemas.openxmlformats.org/spreadsheetml/2006/main">
  <numFmts count="1">
    <numFmt numFmtId="164" formatCode=""/>
  </numFmts>
  <fonts count="49">
    <font>
      <name val="Calibri"/>
      <family val="2"/>
      <color rgb="FF000000"/>
      <sz val="11"/>
      <vertAlign val="baseline"/>
    </font>
    <font>
      <name val="Calibri"/>
      <family val="2"/>
      <b val="1"/>
      <color rgb="FFFFFFFF"/>
      <sz val="11"/>
      <vertAlign val="baseline"/>
    </font>
    <font>
      <name val="Calibri"/>
      <family val="2"/>
      <b val="1"/>
      <strike val="1"/>
      <color rgb="FF828282"/>
      <sz val="11"/>
      <vertAlign val="baseline"/>
    </font>
    <font>
      <name val="Calibri"/>
      <family val="2"/>
      <strike val="1"/>
      <color rgb="FF828282"/>
      <sz val="11"/>
      <vertAlign val="baseline"/>
    </font>
    <font>
      <name val="Calibri"/>
      <family val="2"/>
      <strike val="1"/>
      <color rgb="FF505050"/>
      <sz val="11"/>
      <vertAlign val="baseline"/>
    </font>
    <font>
      <name val="Calibri"/>
      <family val="2"/>
      <b val="1"/>
      <strike val="1"/>
      <color rgb="FF9C5700"/>
      <sz val="11"/>
      <vertAlign val="baseline"/>
    </font>
    <font>
      <name val="Calibri"/>
      <family val="2"/>
      <b val="1"/>
      <color rgb="FF006100"/>
      <sz val="11"/>
      <vertAlign val="baseline"/>
    </font>
    <font>
      <name val="Calibri"/>
      <family val="2"/>
      <b val="1"/>
      <strike val="1"/>
      <color rgb="FF505050"/>
      <sz val="11"/>
      <vertAlign val="baseline"/>
    </font>
    <font>
      <name val="Calibri"/>
      <family val="2"/>
      <b val="1"/>
      <color rgb="FF000000"/>
      <sz val="11"/>
      <vertAlign val="baseline"/>
    </font>
    <font>
      <name val="Calibri"/>
      <family val="2"/>
      <color rgb="FF505050"/>
      <sz val="11"/>
      <vertAlign val="baseline"/>
    </font>
    <font>
      <name val="Calibri"/>
      <family val="2"/>
      <b val="1"/>
      <color rgb="FF9C5700"/>
      <sz val="11"/>
      <vertAlign val="baseline"/>
    </font>
    <font>
      <name val="Calibri"/>
      <family val="2"/>
      <b val="1"/>
      <color rgb="FF1F4E79"/>
      <sz val="11"/>
      <vertAlign val="baseline"/>
    </font>
    <font>
      <name val="Calibri"/>
      <family val="2"/>
      <b val="1"/>
      <color rgb="FF9C6500"/>
      <sz val="11"/>
      <vertAlign val="baseline"/>
    </font>
    <font>
      <name val="Calibri"/>
      <family val="2"/>
      <b val="1"/>
      <strike val="1"/>
      <color rgb="FF3C3C3C"/>
      <sz val="11"/>
      <vertAlign val="baseline"/>
    </font>
    <font>
      <name val="Calibri"/>
      <family val="2"/>
      <b val="1"/>
      <strike val="1"/>
      <color rgb="FFFFFFFF"/>
      <sz val="11"/>
      <vertAlign val="baseline"/>
    </font>
    <font>
      <name val="Calibri"/>
      <family val="2"/>
      <b val="1"/>
      <strike val="1"/>
      <color rgb="FF1F4E79"/>
      <sz val="11"/>
      <vertAlign val="baseline"/>
    </font>
    <font>
      <name val="Calibri"/>
      <family val="2"/>
      <b val="1"/>
      <color rgb="FF505050"/>
      <sz val="11"/>
      <vertAlign val="baseline"/>
    </font>
    <font>
      <name val="Calibri"/>
      <family val="2"/>
      <b val="1"/>
      <color rgb="FF3C3C3C"/>
      <sz val="11"/>
      <vertAlign val="baseline"/>
    </font>
    <font>
      <name val="Calibri"/>
      <family val="2"/>
      <b val="1"/>
      <color rgb="FFC00000"/>
      <sz val="11"/>
      <vertAlign val="baseline"/>
    </font>
    <font>
      <name val="Calibri"/>
      <family val="2"/>
      <i val="1"/>
      <color rgb="FF787878"/>
      <sz val="11"/>
      <vertAlign val="baseline"/>
    </font>
    <font>
      <name val="Calibri"/>
      <family val="2"/>
      <b val="1"/>
      <color rgb="FFFFFFFF"/>
      <sz val="16"/>
      <vertAlign val="baseline"/>
    </font>
    <font>
      <name val="Calibri"/>
      <family val="2"/>
      <i val="1"/>
      <color rgb="FF365F91"/>
      <sz val="11"/>
      <vertAlign val="baseline"/>
    </font>
    <font>
      <b val="1"/>
    </font>
    <font>
      <name val="Segoe UI"/>
      <b val="1"/>
      <color rgb="00FFFFFF"/>
      <sz val="18"/>
    </font>
    <font>
      <name val="Segoe UI"/>
      <i val="1"/>
      <color rgb="00FFFFFF"/>
      <sz val="10"/>
    </font>
    <font>
      <name val="Segoe UI"/>
      <b val="1"/>
      <color rgb="007F7F7F"/>
      <sz val="9"/>
    </font>
    <font>
      <name val="Segoe UI"/>
      <b val="1"/>
      <color rgb="001F3864"/>
      <sz val="22"/>
    </font>
    <font>
      <name val="Segoe UI"/>
      <b val="1"/>
      <color rgb="002E8B57"/>
      <sz val="22"/>
    </font>
    <font>
      <name val="Segoe UI"/>
      <b val="1"/>
      <color rgb="00C9A100"/>
      <sz val="22"/>
    </font>
    <font>
      <name val="Segoe UI"/>
      <b val="1"/>
      <color rgb="00C00000"/>
      <sz val="22"/>
    </font>
    <font>
      <name val="Segoe UI"/>
      <b val="1"/>
      <color rgb="00C55A11"/>
      <sz val="22"/>
    </font>
    <font>
      <name val="Segoe UI"/>
      <b val="1"/>
      <color rgb="00FFFFFF"/>
      <sz val="10"/>
    </font>
    <font>
      <name val="Segoe UI"/>
      <sz val="10"/>
    </font>
    <font>
      <name val="Segoe UI"/>
      <b val="1"/>
      <color rgb="001F3864"/>
      <sz val="10"/>
    </font>
    <font>
      <name val="Segoe UI"/>
      <b val="1"/>
      <sz val="10"/>
    </font>
    <font>
      <name val="Segoe UI"/>
      <b val="1"/>
      <color rgb="00C9A100"/>
      <sz val="11"/>
    </font>
    <font>
      <name val="Segoe UI"/>
      <i val="1"/>
      <color rgb="00C00000"/>
      <sz val="10"/>
    </font>
    <font>
      <name val="Segoe UI"/>
      <color rgb="00C00000"/>
      <sz val="10"/>
    </font>
    <font>
      <name val="Segoe UI"/>
      <b val="1"/>
      <color rgb="00C00000"/>
      <sz val="11"/>
    </font>
    <font>
      <name val="Segoe UI"/>
      <color rgb="007F7F7F"/>
      <sz val="10"/>
    </font>
    <font>
      <name val="Segoe UI"/>
      <i val="1"/>
      <color rgb="002F5597"/>
      <sz val="10"/>
    </font>
    <font>
      <name val="Segoe UI"/>
      <b val="1"/>
      <color rgb="002E8B57"/>
      <sz val="11"/>
    </font>
    <font>
      <name val="Segoe UI"/>
      <b val="1"/>
      <color rgb="002E8B57"/>
      <sz val="10"/>
    </font>
    <font>
      <name val="Segoe UI"/>
      <b val="1"/>
      <color rgb="00FFFFFF"/>
      <sz val="11"/>
    </font>
    <font>
      <name val="Segoe UI"/>
      <b val="1"/>
      <color rgb="00FFFFFF"/>
      <sz val="16"/>
    </font>
    <font>
      <name val="Segoe UI"/>
      <i val="1"/>
      <color rgb="007F7F7F"/>
      <sz val="9"/>
    </font>
    <font>
      <name val="Segoe UI"/>
      <b val="1"/>
      <color rgb="002F5597"/>
      <sz val="11"/>
    </font>
    <font>
      <name val="Segoe UI"/>
      <b val="1"/>
      <color rgb="007F7F7F"/>
      <sz val="22"/>
    </font>
    <font>
      <name val="Segoe UI"/>
      <b val="1"/>
      <color rgb="007F7F7F"/>
      <sz val="11"/>
    </font>
  </fonts>
  <fills count="37">
    <fill>
      <patternFill/>
    </fill>
    <fill>
      <patternFill patternType="gray125"/>
    </fill>
    <fill>
      <patternFill patternType="solid">
        <fgColor rgb="FF1F3864"/>
      </patternFill>
    </fill>
    <fill>
      <patternFill patternType="solid">
        <fgColor rgb="FFDDEBF7"/>
      </patternFill>
    </fill>
    <fill>
      <patternFill patternType="solid">
        <fgColor rgb="FFFFE6CC"/>
      </patternFill>
    </fill>
    <fill>
      <patternFill patternType="solid">
        <fgColor rgb="FFC6EFCE"/>
      </patternFill>
    </fill>
    <fill>
      <patternFill patternType="solid">
        <fgColor rgb="FFE6E6E6"/>
      </patternFill>
    </fill>
    <fill>
      <patternFill patternType="solid">
        <fgColor rgb="FFC00000"/>
      </patternFill>
    </fill>
    <fill>
      <patternFill patternType="solid">
        <fgColor rgb="FFE9E9E9"/>
      </patternFill>
    </fill>
    <fill>
      <patternFill patternType="solid">
        <fgColor rgb="FFD6E7FA"/>
      </patternFill>
    </fill>
    <fill>
      <patternFill patternType="solid">
        <fgColor rgb="FFFFD9B3"/>
      </patternFill>
    </fill>
    <fill>
      <patternFill patternType="solid">
        <fgColor rgb="FFFFEB9C"/>
      </patternFill>
    </fill>
    <fill>
      <patternFill patternType="solid">
        <fgColor rgb="FFE2EFDA"/>
      </patternFill>
    </fill>
    <fill>
      <patternFill patternType="solid">
        <fgColor rgb="FFEEE0F0"/>
      </patternFill>
    </fill>
    <fill>
      <patternFill patternType="solid">
        <fgColor rgb="FF17365D"/>
      </patternFill>
    </fill>
    <fill>
      <patternFill patternType="solid">
        <fgColor rgb="FFD9EAF7"/>
      </patternFill>
    </fill>
    <fill>
      <patternFill patternType="solid">
        <fgColor rgb="FFF4CCCC"/>
      </patternFill>
    </fill>
    <fill>
      <patternFill patternType="solid">
        <fgColor rgb="FFFFF2CC"/>
      </patternFill>
    </fill>
    <fill>
      <patternFill patternType="solid">
        <fgColor rgb="FFFCE5CD"/>
      </patternFill>
    </fill>
    <fill>
      <patternFill patternType="solid">
        <fgColor rgb="FFD9EAD3"/>
      </patternFill>
    </fill>
    <fill>
      <patternFill patternType="solid">
        <fgColor rgb="00C6E0B4"/>
      </patternFill>
    </fill>
    <fill>
      <patternFill patternType="solid">
        <fgColor rgb="00FFE699"/>
      </patternFill>
    </fill>
    <fill>
      <patternFill patternType="solid">
        <fgColor rgb="00F8CBAD"/>
      </patternFill>
    </fill>
    <fill>
      <patternFill patternType="solid">
        <fgColor rgb="00E4DFEC"/>
      </patternFill>
    </fill>
    <fill>
      <patternFill patternType="solid">
        <fgColor rgb="00E2EFDA"/>
      </patternFill>
    </fill>
    <fill>
      <patternFill patternType="solid">
        <fgColor rgb="00DDEBF7"/>
      </patternFill>
    </fill>
    <fill>
      <patternFill patternType="solid">
        <fgColor rgb="001F3864"/>
      </patternFill>
    </fill>
    <fill>
      <patternFill patternType="solid">
        <fgColor rgb="002F5597"/>
      </patternFill>
    </fill>
    <fill>
      <patternFill patternType="solid">
        <fgColor rgb="00D9E1F2"/>
      </patternFill>
    </fill>
    <fill>
      <patternFill patternType="solid">
        <fgColor rgb="00E2F0D9"/>
      </patternFill>
    </fill>
    <fill>
      <patternFill patternType="solid">
        <fgColor rgb="00FFF2CC"/>
      </patternFill>
    </fill>
    <fill>
      <patternFill patternType="solid">
        <fgColor rgb="00FCE4E4"/>
      </patternFill>
    </fill>
    <fill>
      <patternFill patternType="solid">
        <fgColor rgb="00F2F2F2"/>
      </patternFill>
    </fill>
    <fill>
      <patternFill patternType="solid">
        <fgColor rgb="00F7F9FC"/>
      </patternFill>
    </fill>
    <fill>
      <patternFill patternType="solid">
        <fgColor rgb="00FFFFFF"/>
      </patternFill>
    </fill>
    <fill>
      <patternFill patternType="solid">
        <fgColor rgb="002E8B57"/>
      </patternFill>
    </fill>
    <fill>
      <patternFill patternType="solid">
        <fgColor rgb="00EDEDED"/>
      </patternFill>
    </fill>
  </fills>
  <borders count="11">
    <border>
      <left>
        <color rgb="FF000000"/>
      </left>
      <right>
        <color rgb="FF000000"/>
      </right>
      <top>
        <color rgb="FF000000"/>
      </top>
      <bottom>
        <color rgb="FF000000"/>
      </bottom>
      <diagonal>
        <color rgb="FF000000"/>
      </diagonal>
    </border>
    <border>
      <left>
        <color rgb="FF000000"/>
      </left>
      <right>
        <color rgb="FF000000"/>
      </right>
      <top>
        <color rgb="FF000000"/>
      </top>
      <bottom style="hair">
        <color rgb="FFD2D2D2"/>
      </bottom>
      <diagonal>
        <color rgb="FF000000"/>
      </diagonal>
    </border>
    <border>
      <left>
        <color rgb="FF000000"/>
      </left>
      <right>
        <color rgb="FF000000"/>
      </right>
      <top>
        <color rgb="FF000000"/>
      </top>
      <bottom style="hair">
        <color rgb="FFD3D3D3"/>
      </bottom>
      <diagonal>
        <color rgb="FF000000"/>
      </diagonal>
    </border>
    <border>
      <left style="thin">
        <color rgb="00BFBFBF"/>
      </left>
      <right style="thin">
        <color rgb="00BFBFBF"/>
      </right>
      <top style="thin">
        <color rgb="00BFBFBF"/>
      </top>
      <bottom style="thin">
        <color rgb="00BFBFBF"/>
      </bottom>
    </border>
    <border>
      <bottom style="medium">
        <color rgb="002F5597"/>
      </bottom>
    </border>
    <border>
      <bottom style="medium">
        <color rgb="002E8B57"/>
      </bottom>
    </border>
    <border>
      <left>
        <color rgb="FF000000"/>
      </left>
      <right>
        <color rgb="FF000000"/>
      </right>
      <top style="thin">
        <color rgb="FF000000"/>
      </top>
      <bottom>
        <color rgb="FF000000"/>
      </bottom>
      <diagonal>
        <color rgb="FF000000"/>
      </diagonal>
    </border>
    <border>
      <left>
        <color rgb="FF000000"/>
      </left>
      <right style="thin">
        <color rgb="FF000000"/>
      </right>
      <top style="thin">
        <color rgb="FF000000"/>
      </top>
      <bottom>
        <color rgb="FF000000"/>
      </bottom>
      <diagonal>
        <color rgb="FF000000"/>
      </diagonal>
    </border>
    <border>
      <left>
        <color rgb="FF000000"/>
      </left>
      <right style="thin">
        <color rgb="FF000000"/>
      </right>
      <top style="thin">
        <color rgb="FF000000"/>
      </top>
      <bottom style="thin">
        <color rgb="FF000000"/>
      </bottom>
      <diagonal>
        <color rgb="FF000000"/>
      </diagonal>
    </border>
    <border>
      <left>
        <color rgb="FF000000"/>
      </left>
      <right>
        <color rgb="FF000000"/>
      </right>
      <top>
        <color rgb="FF000000"/>
      </top>
      <bottom style="medium">
        <color rgb="FF000000"/>
      </bottom>
      <diagonal>
        <color rgb="FF000000"/>
      </diagonal>
    </border>
    <border>
      <left>
        <color rgb="FF000000"/>
      </left>
      <right>
        <color rgb="FF000000"/>
      </right>
      <top style="thin">
        <color rgb="FF000000"/>
      </top>
      <bottom style="thin">
        <color rgb="FF000000"/>
      </bottom>
      <diagonal>
        <color rgb="FF000000"/>
      </diagonal>
    </border>
  </borders>
  <cellStyleXfs count="1">
    <xf numFmtId="0" fontId="0" fillId="0" borderId="0"/>
  </cellStyleXfs>
  <cellXfs count="141">
    <xf numFmtId="164" fontId="0" fillId="0" borderId="0" applyAlignment="1" pivotButton="0" quotePrefix="0" xfId="0">
      <alignment horizontal="general" vertical="bottom"/>
    </xf>
    <xf numFmtId="164" fontId="1" fillId="2" borderId="0" applyAlignment="1" pivotButton="0" quotePrefix="0" xfId="0">
      <alignment horizontal="general" vertical="center" wrapText="1"/>
    </xf>
    <xf numFmtId="164" fontId="2" fillId="0" borderId="1" applyAlignment="1" pivotButton="0" quotePrefix="0" xfId="0">
      <alignment horizontal="general" vertical="top"/>
    </xf>
    <xf numFmtId="164" fontId="3" fillId="3" borderId="1" applyAlignment="1" pivotButton="0" quotePrefix="0" xfId="0">
      <alignment horizontal="general" vertical="top"/>
    </xf>
    <xf numFmtId="164" fontId="4" fillId="0" borderId="1" applyAlignment="1" pivotButton="0" quotePrefix="0" xfId="0">
      <alignment horizontal="general" vertical="top"/>
    </xf>
    <xf numFmtId="164" fontId="3" fillId="0" borderId="1" applyAlignment="1" pivotButton="0" quotePrefix="0" xfId="0">
      <alignment horizontal="general" vertical="top" wrapText="1"/>
    </xf>
    <xf numFmtId="164" fontId="3" fillId="0" borderId="1" applyAlignment="1" pivotButton="0" quotePrefix="0" xfId="0">
      <alignment horizontal="general" vertical="top"/>
    </xf>
    <xf numFmtId="164" fontId="5" fillId="4" borderId="1" applyAlignment="1" pivotButton="0" quotePrefix="0" xfId="0">
      <alignment horizontal="general" vertical="top"/>
    </xf>
    <xf numFmtId="164" fontId="6" fillId="5" borderId="1" applyAlignment="1" pivotButton="0" quotePrefix="0" xfId="0">
      <alignment horizontal="general" vertical="top"/>
    </xf>
    <xf numFmtId="164" fontId="7" fillId="6" borderId="1" applyAlignment="1" pivotButton="0" quotePrefix="0" xfId="0">
      <alignment horizontal="general" vertical="top"/>
    </xf>
    <xf numFmtId="164" fontId="8" fillId="0" borderId="1" applyAlignment="1" pivotButton="0" quotePrefix="0" xfId="0">
      <alignment horizontal="general" vertical="top"/>
    </xf>
    <xf numFmtId="164" fontId="1" fillId="7" borderId="1" applyAlignment="1" pivotButton="0" quotePrefix="0" xfId="0">
      <alignment horizontal="general" vertical="top"/>
    </xf>
    <xf numFmtId="164" fontId="0" fillId="8" borderId="1" applyAlignment="1" pivotButton="0" quotePrefix="0" xfId="0">
      <alignment horizontal="general" vertical="top"/>
    </xf>
    <xf numFmtId="164" fontId="9" fillId="0" borderId="1" applyAlignment="1" pivotButton="0" quotePrefix="0" xfId="0">
      <alignment horizontal="general" vertical="top"/>
    </xf>
    <xf numFmtId="164" fontId="0" fillId="0" borderId="1" applyAlignment="1" pivotButton="0" quotePrefix="0" xfId="0">
      <alignment horizontal="general" vertical="top" wrapText="1"/>
    </xf>
    <xf numFmtId="164" fontId="0" fillId="0" borderId="1" applyAlignment="1" pivotButton="0" quotePrefix="0" xfId="0">
      <alignment horizontal="general" vertical="top"/>
    </xf>
    <xf numFmtId="164" fontId="10" fillId="4" borderId="1" applyAlignment="1" pivotButton="0" quotePrefix="0" xfId="0">
      <alignment horizontal="general" vertical="top"/>
    </xf>
    <xf numFmtId="164" fontId="11" fillId="9" borderId="1" applyAlignment="1" pivotButton="0" quotePrefix="0" xfId="0">
      <alignment horizontal="general" vertical="top"/>
    </xf>
    <xf numFmtId="164" fontId="10" fillId="10" borderId="1" applyAlignment="1" pivotButton="0" quotePrefix="0" xfId="0">
      <alignment horizontal="general" vertical="top"/>
    </xf>
    <xf numFmtId="164" fontId="0" fillId="3" borderId="1" applyAlignment="1" pivotButton="0" quotePrefix="0" xfId="0">
      <alignment horizontal="general" vertical="top"/>
    </xf>
    <xf numFmtId="164" fontId="12" fillId="11" borderId="1" applyAlignment="1" pivotButton="0" quotePrefix="0" xfId="0">
      <alignment horizontal="general" vertical="top"/>
    </xf>
    <xf numFmtId="164" fontId="5" fillId="10" borderId="1" applyAlignment="1" pivotButton="0" quotePrefix="0" xfId="0">
      <alignment horizontal="general" vertical="top"/>
    </xf>
    <xf numFmtId="164" fontId="13" fillId="6" borderId="1" applyAlignment="1" pivotButton="0" quotePrefix="0" xfId="0">
      <alignment horizontal="general" vertical="top"/>
    </xf>
    <xf numFmtId="164" fontId="14" fillId="7" borderId="1" applyAlignment="1" pivotButton="0" quotePrefix="0" xfId="0">
      <alignment horizontal="general" vertical="top"/>
    </xf>
    <xf numFmtId="164" fontId="3" fillId="8" borderId="1" applyAlignment="1" pivotButton="0" quotePrefix="0" xfId="0">
      <alignment horizontal="general" vertical="top"/>
    </xf>
    <xf numFmtId="164" fontId="0" fillId="12" borderId="1" applyAlignment="1" pivotButton="0" quotePrefix="0" xfId="0">
      <alignment horizontal="general" vertical="top"/>
    </xf>
    <xf numFmtId="164" fontId="0" fillId="13" borderId="1" applyAlignment="1" pivotButton="0" quotePrefix="0" xfId="0">
      <alignment horizontal="general" vertical="top"/>
    </xf>
    <xf numFmtId="164" fontId="15" fillId="9" borderId="1" applyAlignment="1" pivotButton="0" quotePrefix="0" xfId="0">
      <alignment horizontal="general" vertical="top"/>
    </xf>
    <xf numFmtId="164" fontId="16" fillId="6" borderId="1" applyAlignment="1" pivotButton="0" quotePrefix="0" xfId="0">
      <alignment horizontal="general" vertical="top"/>
    </xf>
    <xf numFmtId="164" fontId="17" fillId="6" borderId="1" applyAlignment="1" pivotButton="0" quotePrefix="0" xfId="0">
      <alignment horizontal="general" vertical="top"/>
    </xf>
    <xf numFmtId="164" fontId="18" fillId="0" borderId="1" applyAlignment="1" pivotButton="0" quotePrefix="0" xfId="0">
      <alignment horizontal="general" vertical="top"/>
    </xf>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9" fontId="0" fillId="0" borderId="1" applyAlignment="1" pivotButton="0" quotePrefix="0" xfId="0">
      <alignment horizontal="center" vertical="top"/>
    </xf>
    <xf numFmtId="164" fontId="19" fillId="0" borderId="0" applyAlignment="1" pivotButton="0" quotePrefix="0" xfId="0">
      <alignment horizontal="general" vertical="bottom"/>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164" fontId="0" fillId="0" borderId="0" applyAlignment="1" pivotButton="0" quotePrefix="0" xfId="0">
      <alignment horizontal="general" vertical="bottom"/>
    </xf>
    <xf numFmtId="0" fontId="0" fillId="0" borderId="0" pivotButton="0" quotePrefix="0" xfId="0"/>
    <xf numFmtId="164" fontId="1" fillId="2" borderId="0" applyAlignment="1" pivotButton="0" quotePrefix="0" xfId="0">
      <alignment horizontal="general" vertical="center"/>
    </xf>
    <xf numFmtId="164" fontId="16" fillId="0" borderId="1" applyAlignment="1" pivotButton="0" quotePrefix="0" xfId="0">
      <alignment horizontal="general" vertical="top"/>
    </xf>
    <xf numFmtId="164" fontId="0" fillId="0" borderId="1" applyAlignment="1" pivotButton="0" quotePrefix="0" xfId="0">
      <alignment horizontal="general" vertical="top" wrapText="1"/>
    </xf>
    <xf numFmtId="164" fontId="1" fillId="7" borderId="1" applyAlignment="1" pivotButton="0" quotePrefix="0" xfId="0">
      <alignment horizontal="general" vertical="top"/>
    </xf>
    <xf numFmtId="9" fontId="0" fillId="0" borderId="1" applyAlignment="1" pivotButton="0" quotePrefix="0" xfId="0">
      <alignment horizontal="center" vertical="top"/>
    </xf>
    <xf numFmtId="164" fontId="10" fillId="4" borderId="1" applyAlignment="1" pivotButton="0" quotePrefix="0" xfId="0">
      <alignment horizontal="general" vertical="top"/>
    </xf>
    <xf numFmtId="164" fontId="19" fillId="0" borderId="0" applyAlignment="1" pivotButton="0" quotePrefix="0" xfId="0">
      <alignment horizontal="general" vertical="bottom"/>
    </xf>
    <xf numFmtId="0" fontId="22" fillId="0" borderId="0" applyAlignment="1" pivotButton="0" quotePrefix="0" xfId="0">
      <alignment vertical="top"/>
    </xf>
    <xf numFmtId="0" fontId="0" fillId="0" borderId="0" applyAlignment="1" pivotButton="0" quotePrefix="0" xfId="0">
      <alignment vertical="top" wrapText="1"/>
    </xf>
    <xf numFmtId="0" fontId="0" fillId="20" borderId="0" applyAlignment="1" pivotButton="0" quotePrefix="0" xfId="0">
      <alignment vertical="top" wrapText="1"/>
    </xf>
    <xf numFmtId="0" fontId="0" fillId="21" borderId="0" applyAlignment="1" pivotButton="0" quotePrefix="0" xfId="0">
      <alignment vertical="top" wrapText="1"/>
    </xf>
    <xf numFmtId="0" fontId="0" fillId="22" borderId="0" applyAlignment="1" pivotButton="0" quotePrefix="0" xfId="0">
      <alignment vertical="top" wrapText="1"/>
    </xf>
    <xf numFmtId="164" fontId="0" fillId="0" borderId="0" applyAlignment="1" pivotButton="0" quotePrefix="0" xfId="0">
      <alignment horizontal="general" vertical="top" wrapText="1"/>
    </xf>
    <xf numFmtId="164" fontId="1" fillId="2" borderId="0" applyAlignment="1" pivotButton="0" quotePrefix="0" xfId="0">
      <alignment horizontal="general" vertical="bottom"/>
    </xf>
    <xf numFmtId="164" fontId="1" fillId="2" borderId="0" applyAlignment="1" pivotButton="0" quotePrefix="0" xfId="0">
      <alignment horizontal="general" vertical="top" wrapText="1"/>
    </xf>
    <xf numFmtId="164" fontId="8" fillId="0" borderId="0" applyAlignment="1" pivotButton="0" quotePrefix="0" xfId="0">
      <alignment horizontal="general" vertical="top"/>
    </xf>
    <xf numFmtId="164" fontId="20" fillId="14" borderId="0" applyAlignment="1" pivotButton="0" quotePrefix="0" xfId="0">
      <alignment horizontal="general" vertical="center"/>
    </xf>
    <xf numFmtId="164" fontId="21" fillId="15" borderId="0" applyAlignment="1" pivotButton="0" quotePrefix="0" xfId="0">
      <alignment horizontal="general" vertical="bottom"/>
    </xf>
    <xf numFmtId="164" fontId="0" fillId="0" borderId="0" applyAlignment="1" pivotButton="0" quotePrefix="0" xfId="0">
      <alignment horizontal="general" vertical="top"/>
    </xf>
    <xf numFmtId="164" fontId="0" fillId="0" borderId="2" applyAlignment="1" pivotButton="0" quotePrefix="0" xfId="0">
      <alignment horizontal="left" vertical="top" wrapText="1"/>
    </xf>
    <xf numFmtId="164" fontId="8" fillId="16" borderId="2" applyAlignment="1" pivotButton="0" quotePrefix="0" xfId="0">
      <alignment horizontal="left" vertical="top" wrapText="1"/>
    </xf>
    <xf numFmtId="164" fontId="8" fillId="17" borderId="2" applyAlignment="1" pivotButton="0" quotePrefix="0" xfId="0">
      <alignment horizontal="left" vertical="top" wrapText="1"/>
    </xf>
    <xf numFmtId="164" fontId="8" fillId="18" borderId="2" applyAlignment="1" pivotButton="0" quotePrefix="0" xfId="0">
      <alignment horizontal="left" vertical="top" wrapText="1"/>
    </xf>
    <xf numFmtId="164" fontId="8" fillId="19" borderId="2" applyAlignment="1" pivotButton="0" quotePrefix="0" xfId="0">
      <alignment horizontal="left" vertical="top" wrapText="1"/>
    </xf>
    <xf numFmtId="0" fontId="23" fillId="26" borderId="0" applyAlignment="1" pivotButton="0" quotePrefix="0" xfId="0">
      <alignment vertical="center" indent="1"/>
    </xf>
    <xf numFmtId="0" fontId="24" fillId="27" borderId="0" applyAlignment="1" pivotButton="0" quotePrefix="0" xfId="0">
      <alignment vertical="center" indent="1"/>
    </xf>
    <xf numFmtId="0" fontId="25" fillId="28" borderId="3" applyAlignment="1" pivotButton="0" quotePrefix="0" xfId="0">
      <alignment horizontal="center" vertical="bottom"/>
    </xf>
    <xf numFmtId="0" fontId="0" fillId="28" borderId="3" pivotButton="0" quotePrefix="0" xfId="0"/>
    <xf numFmtId="0" fontId="25" fillId="29" borderId="3" applyAlignment="1" pivotButton="0" quotePrefix="0" xfId="0">
      <alignment horizontal="center" vertical="bottom"/>
    </xf>
    <xf numFmtId="0" fontId="0" fillId="29" borderId="3" pivotButton="0" quotePrefix="0" xfId="0"/>
    <xf numFmtId="0" fontId="25" fillId="30" borderId="3" applyAlignment="1" pivotButton="0" quotePrefix="0" xfId="0">
      <alignment horizontal="center" vertical="bottom"/>
    </xf>
    <xf numFmtId="0" fontId="0" fillId="30" borderId="3" pivotButton="0" quotePrefix="0" xfId="0"/>
    <xf numFmtId="0" fontId="25" fillId="31" borderId="3" applyAlignment="1" pivotButton="0" quotePrefix="0" xfId="0">
      <alignment horizontal="center" vertical="bottom"/>
    </xf>
    <xf numFmtId="0" fontId="0" fillId="31" borderId="3" pivotButton="0" quotePrefix="0" xfId="0"/>
    <xf numFmtId="0" fontId="25" fillId="32" borderId="3" applyAlignment="1" pivotButton="0" quotePrefix="0" xfId="0">
      <alignment horizontal="center" vertical="bottom"/>
    </xf>
    <xf numFmtId="0" fontId="0" fillId="32" borderId="3" pivotButton="0" quotePrefix="0" xfId="0"/>
    <xf numFmtId="0" fontId="26" fillId="28" borderId="3" applyAlignment="1" pivotButton="0" quotePrefix="0" xfId="0">
      <alignment horizontal="center" vertical="center"/>
    </xf>
    <xf numFmtId="0" fontId="27" fillId="29" borderId="3" applyAlignment="1" pivotButton="0" quotePrefix="0" xfId="0">
      <alignment horizontal="center" vertical="center"/>
    </xf>
    <xf numFmtId="0" fontId="28" fillId="30" borderId="3" applyAlignment="1" pivotButton="0" quotePrefix="0" xfId="0">
      <alignment horizontal="center" vertical="center"/>
    </xf>
    <xf numFmtId="0" fontId="29" fillId="31" borderId="3" applyAlignment="1" pivotButton="0" quotePrefix="0" xfId="0">
      <alignment horizontal="center" vertical="center"/>
    </xf>
    <xf numFmtId="0" fontId="29" fillId="32" borderId="3" applyAlignment="1" pivotButton="0" quotePrefix="0" xfId="0">
      <alignment horizontal="center" vertical="center"/>
    </xf>
    <xf numFmtId="0" fontId="30" fillId="32" borderId="3" applyAlignment="1" pivotButton="0" quotePrefix="0" xfId="0">
      <alignment horizontal="center" vertical="center"/>
    </xf>
    <xf numFmtId="0" fontId="31" fillId="26" borderId="3" applyAlignment="1" pivotButton="0" quotePrefix="0" xfId="0">
      <alignment horizontal="center" vertical="center" wrapText="1"/>
    </xf>
    <xf numFmtId="0" fontId="33" fillId="33" borderId="3" applyAlignment="1" pivotButton="0" quotePrefix="0" xfId="0">
      <alignment vertical="center" wrapText="1"/>
    </xf>
    <xf numFmtId="0" fontId="34" fillId="33" borderId="3" applyAlignment="1" pivotButton="0" quotePrefix="0" xfId="0">
      <alignment vertical="center" wrapText="1"/>
    </xf>
    <xf numFmtId="0" fontId="32" fillId="25" borderId="3" applyAlignment="1" pivotButton="0" quotePrefix="0" xfId="0">
      <alignment horizontal="center" vertical="center"/>
    </xf>
    <xf numFmtId="0" fontId="35" fillId="30" borderId="3" applyAlignment="1" pivotButton="0" quotePrefix="0" xfId="0">
      <alignment horizontal="center" vertical="center"/>
    </xf>
    <xf numFmtId="0" fontId="36" fillId="33" borderId="3" applyAlignment="1" pivotButton="0" quotePrefix="0" xfId="0">
      <alignment vertical="center" wrapText="1"/>
    </xf>
    <xf numFmtId="0" fontId="37" fillId="33" borderId="3" applyAlignment="1" pivotButton="0" quotePrefix="0" xfId="0">
      <alignment horizontal="center" vertical="center"/>
    </xf>
    <xf numFmtId="0" fontId="32" fillId="33" borderId="3" applyAlignment="1" pivotButton="0" quotePrefix="0" xfId="0">
      <alignment horizontal="center" vertical="center"/>
    </xf>
    <xf numFmtId="0" fontId="32" fillId="33" borderId="3" applyAlignment="1" pivotButton="0" quotePrefix="0" xfId="0">
      <alignment vertical="center" wrapText="1"/>
    </xf>
    <xf numFmtId="0" fontId="33" fillId="34" borderId="3" applyAlignment="1" pivotButton="0" quotePrefix="0" xfId="0">
      <alignment vertical="center" wrapText="1"/>
    </xf>
    <xf numFmtId="0" fontId="34" fillId="34" borderId="3" applyAlignment="1" pivotButton="0" quotePrefix="0" xfId="0">
      <alignment vertical="center" wrapText="1"/>
    </xf>
    <xf numFmtId="0" fontId="32" fillId="24" borderId="3" applyAlignment="1" pivotButton="0" quotePrefix="0" xfId="0">
      <alignment horizontal="center" vertical="center"/>
    </xf>
    <xf numFmtId="0" fontId="38" fillId="31" borderId="3" applyAlignment="1" pivotButton="0" quotePrefix="0" xfId="0">
      <alignment horizontal="center" vertical="center"/>
    </xf>
    <xf numFmtId="0" fontId="36" fillId="34" borderId="3" applyAlignment="1" pivotButton="0" quotePrefix="0" xfId="0">
      <alignment vertical="center" wrapText="1"/>
    </xf>
    <xf numFmtId="0" fontId="39" fillId="34" borderId="3" applyAlignment="1" pivotButton="0" quotePrefix="0" xfId="0">
      <alignment horizontal="center" vertical="center"/>
    </xf>
    <xf numFmtId="0" fontId="32" fillId="34" borderId="3" applyAlignment="1" pivotButton="0" quotePrefix="0" xfId="0">
      <alignment horizontal="center" vertical="center"/>
    </xf>
    <xf numFmtId="0" fontId="32" fillId="34" borderId="3" applyAlignment="1" pivotButton="0" quotePrefix="0" xfId="0">
      <alignment vertical="center" wrapText="1"/>
    </xf>
    <xf numFmtId="0" fontId="40" fillId="33" borderId="3" applyAlignment="1" pivotButton="0" quotePrefix="0" xfId="0">
      <alignment vertical="center" wrapText="1"/>
    </xf>
    <xf numFmtId="0" fontId="32" fillId="23" borderId="3" applyAlignment="1" pivotButton="0" quotePrefix="0" xfId="0">
      <alignment horizontal="center" vertical="center"/>
    </xf>
    <xf numFmtId="0" fontId="41" fillId="29" borderId="3" applyAlignment="1" pivotButton="0" quotePrefix="0" xfId="0">
      <alignment horizontal="center" vertical="center"/>
    </xf>
    <xf numFmtId="0" fontId="40" fillId="34" borderId="3" applyAlignment="1" pivotButton="0" quotePrefix="0" xfId="0">
      <alignment vertical="center" wrapText="1"/>
    </xf>
    <xf numFmtId="0" fontId="37" fillId="34" borderId="3" applyAlignment="1" pivotButton="0" quotePrefix="0" xfId="0">
      <alignment horizontal="center" vertical="center"/>
    </xf>
    <xf numFmtId="0" fontId="42" fillId="34" borderId="3" applyAlignment="1" pivotButton="0" quotePrefix="0" xfId="0">
      <alignment horizontal="center" vertical="center"/>
    </xf>
    <xf numFmtId="0" fontId="43" fillId="26" borderId="0" applyAlignment="1" pivotButton="0" quotePrefix="0" xfId="0">
      <alignment indent="1"/>
    </xf>
    <xf numFmtId="0" fontId="34" fillId="28" borderId="3" applyAlignment="1" pivotButton="0" quotePrefix="0" xfId="0">
      <alignment vertical="center" wrapText="1"/>
    </xf>
    <xf numFmtId="0" fontId="32" fillId="24" borderId="3" applyAlignment="1" pivotButton="0" quotePrefix="0" xfId="0">
      <alignment vertical="center" wrapText="1"/>
    </xf>
    <xf numFmtId="0" fontId="32" fillId="0" borderId="3" applyAlignment="1" pivotButton="0" quotePrefix="0" xfId="0">
      <alignment vertical="center" wrapText="1"/>
    </xf>
    <xf numFmtId="0" fontId="32" fillId="25" borderId="3" applyAlignment="1" pivotButton="0" quotePrefix="0" xfId="0">
      <alignment vertical="center" wrapText="1"/>
    </xf>
    <xf numFmtId="0" fontId="32" fillId="23" borderId="3" applyAlignment="1" pivotButton="0" quotePrefix="0" xfId="0">
      <alignment vertical="center" wrapText="1"/>
    </xf>
    <xf numFmtId="0" fontId="33" fillId="0" borderId="0" applyAlignment="1" pivotButton="0" quotePrefix="0" xfId="0">
      <alignment vertical="top"/>
    </xf>
    <xf numFmtId="0" fontId="32" fillId="0" borderId="0" applyAlignment="1" pivotButton="0" quotePrefix="0" xfId="0">
      <alignment vertical="top" wrapText="1"/>
    </xf>
    <xf numFmtId="0" fontId="0" fillId="23" borderId="0" applyAlignment="1" pivotButton="0" quotePrefix="0" xfId="0">
      <alignment vertical="top" wrapText="1"/>
    </xf>
    <xf numFmtId="0" fontId="0" fillId="24" borderId="0" applyAlignment="1" pivotButton="0" quotePrefix="0" xfId="0">
      <alignment vertical="top" wrapText="1"/>
    </xf>
    <xf numFmtId="0" fontId="0" fillId="25" borderId="0" applyAlignment="1" pivotButton="0" quotePrefix="0" xfId="0">
      <alignment vertical="top" wrapText="1"/>
    </xf>
    <xf numFmtId="0" fontId="44" fillId="27" borderId="0" applyAlignment="1" pivotButton="0" quotePrefix="0" xfId="0">
      <alignment vertical="center" indent="1"/>
    </xf>
    <xf numFmtId="0" fontId="45" fillId="0" borderId="0" applyAlignment="1" pivotButton="0" quotePrefix="0" xfId="0">
      <alignment wrapText="1" indent="1"/>
    </xf>
    <xf numFmtId="0" fontId="46" fillId="0" borderId="4" pivotButton="0" quotePrefix="0" xfId="0"/>
    <xf numFmtId="0" fontId="34" fillId="32" borderId="3" applyAlignment="1" pivotButton="0" quotePrefix="0" xfId="0">
      <alignment vertical="top" wrapText="1"/>
    </xf>
    <xf numFmtId="0" fontId="0" fillId="0" borderId="3" applyAlignment="1" pivotButton="0" quotePrefix="0" xfId="0">
      <alignment vertical="top" wrapText="1"/>
    </xf>
    <xf numFmtId="0" fontId="0" fillId="0" borderId="3" pivotButton="0" quotePrefix="0" xfId="0"/>
    <xf numFmtId="0" fontId="34" fillId="28" borderId="3" applyAlignment="1" pivotButton="0" quotePrefix="0" xfId="0">
      <alignment horizontal="center" wrapText="1"/>
    </xf>
    <xf numFmtId="0" fontId="44" fillId="35" borderId="0" applyAlignment="1" pivotButton="0" quotePrefix="0" xfId="0">
      <alignment vertical="center" indent="1"/>
    </xf>
    <xf numFmtId="0" fontId="41" fillId="0" borderId="5" pivotButton="0" quotePrefix="0" xfId="0"/>
    <xf numFmtId="0" fontId="0" fillId="0" borderId="4" pivotButton="0" quotePrefix="0" xfId="0"/>
    <xf numFmtId="0" fontId="0" fillId="0" borderId="5" pivotButton="0" quotePrefix="0" xfId="0"/>
    <xf numFmtId="0" fontId="25" fillId="36" borderId="3" applyAlignment="1" pivotButton="0" quotePrefix="0" xfId="0">
      <alignment horizontal="center" vertical="bottom"/>
    </xf>
    <xf numFmtId="0" fontId="0" fillId="36" borderId="3" pivotButton="0" quotePrefix="0" xfId="0"/>
    <xf numFmtId="0" fontId="47" fillId="36" borderId="3" applyAlignment="1" pivotButton="0" quotePrefix="0" xfId="0">
      <alignment horizontal="center" vertical="center"/>
    </xf>
    <xf numFmtId="0" fontId="48" fillId="36" borderId="3" applyAlignment="1" pivotButton="0" quotePrefix="0" xfId="0">
      <alignment horizontal="center" vertical="center"/>
    </xf>
    <xf numFmtId="0" fontId="39" fillId="33" borderId="3" applyAlignment="1" pivotButton="0" quotePrefix="0" xfId="0">
      <alignment horizontal="center" vertical="center"/>
    </xf>
  </cellXfs>
  <cellStyles count="1">
    <cellStyle name="Normal" xfId="0" builtinId="0"/>
  </cellStyles>
  <dxfs count="1">
    <dxf>
      <border>
        <bottom style="hair">
          <color rgb="FFD3D3D3"/>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charts/chart1.xml><?xml version="1.0" encoding="utf-8"?>
<chartSpace xmlns:a="http://schemas.openxmlformats.org/drawingml/2006/main" xmlns="http://schemas.openxmlformats.org/drawingml/2006/chart">
  <chart>
    <title>
      <tx>
        <rich>
          <a:bodyPr/>
          <a:p>
            <a:pPr>
              <a:defRPr/>
            </a:pPr>
            <a:r>
              <a:t>Ampel der Vorhaben</a:t>
            </a:r>
          </a:p>
        </rich>
      </tx>
    </title>
    <plotArea>
      <pieChart>
        <varyColors val="1"/>
        <ser>
          <idx val="0"/>
          <order val="0"/>
          <tx>
            <strRef>
              <f>'HERMES Übersicht'!Q7</f>
            </strRef>
          </tx>
          <spPr>
            <a:ln>
              <a:prstDash val="solid"/>
            </a:ln>
          </spPr>
          <dPt>
            <idx val="0"/>
            <spPr>
              <a:solidFill>
                <a:srgbClr val="2E8B57"/>
              </a:solidFill>
              <a:ln>
                <a:solidFill>
                  <a:srgbClr val="FFFFFF"/>
                </a:solidFill>
                <a:prstDash val="solid"/>
              </a:ln>
            </spPr>
          </dPt>
          <dPt>
            <idx val="1"/>
            <spPr>
              <a:solidFill>
                <a:srgbClr val="C9A100"/>
              </a:solidFill>
              <a:ln>
                <a:solidFill>
                  <a:srgbClr val="FFFFFF"/>
                </a:solidFill>
                <a:prstDash val="solid"/>
              </a:ln>
            </spPr>
          </dPt>
          <dPt>
            <idx val="2"/>
            <spPr>
              <a:solidFill>
                <a:srgbClr val="C00000"/>
              </a:solidFill>
              <a:ln>
                <a:solidFill>
                  <a:srgbClr val="FFFFFF"/>
                </a:solidFill>
                <a:prstDash val="solid"/>
              </a:ln>
            </spPr>
          </dPt>
          <dPt>
            <idx val="3"/>
            <spPr>
              <a:solidFill>
                <a:srgbClr val="7F7F7F"/>
              </a:solidFill>
              <a:ln>
                <a:solidFill>
                  <a:srgbClr val="FFFFFF"/>
                </a:solidFill>
                <a:prstDash val="solid"/>
              </a:ln>
            </spPr>
          </dPt>
          <cat>
            <numRef>
              <f>'HERMES Übersicht'!$P$8:$P$11</f>
            </numRef>
          </cat>
          <val>
            <numRef>
              <f>'HERMES Übersicht'!$Q$8:$Q$11</f>
            </numRef>
          </val>
        </ser>
        <dLbls>
          <showLegendKey val="0"/>
          <showVal val="1"/>
          <showCatName val="0"/>
          <showSerName val="0"/>
        </dLbls>
        <firstSliceAng val="0"/>
      </pieChart>
    </plotArea>
    <legend>
      <legendPos val="r"/>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Offene Aufgaben je Vorhaben</a:t>
            </a:r>
          </a:p>
        </rich>
      </tx>
    </title>
    <plotArea>
      <barChart>
        <barDir val="bar"/>
        <grouping val="clustered"/>
        <ser>
          <idx val="0"/>
          <order val="0"/>
          <tx>
            <strRef>
              <f>'HERMES Übersicht'!J7</f>
            </strRef>
          </tx>
          <spPr>
            <a:solidFill>
              <a:srgbClr val="5B9BD5"/>
            </a:solidFill>
            <a:ln>
              <a:prstDash val="solid"/>
            </a:ln>
          </spPr>
          <cat>
            <numRef>
              <f>'HERMES Übersicht'!$A$8:$A$19</f>
            </numRef>
          </cat>
          <val>
            <numRef>
              <f>'HERMES Übersicht'!$J$8:$J$19</f>
            </numRef>
          </val>
        </ser>
        <dLbls>
          <showLegendKey val="0"/>
          <showVal val="1"/>
          <showCatName val="0"/>
          <showSerName val="0"/>
        </dLbls>
        <gapWidth val="150"/>
        <axId val="10"/>
        <axId val="100"/>
      </barChart>
      <catAx>
        <axId val="10"/>
        <scaling>
          <orientation val="maxMin"/>
        </scaling>
        <delete val="0"/>
        <axPos val="l"/>
        <majorTickMark val="none"/>
        <minorTickMark val="none"/>
        <crossAx val="100"/>
        <lblOffset val="100"/>
      </catAx>
      <valAx>
        <axId val="100"/>
        <scaling>
          <orientation val="minMax"/>
        </scaling>
        <delete val="1"/>
        <axPos val="l"/>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20</row>
      <rowOff>0</rowOff>
    </from>
    <ext cx="3600000" cy="2700000"/>
    <graphicFrame>
      <nvGraphicFramePr>
        <cNvPr id="1" name="Chart 1"/>
        <cNvGraphicFramePr/>
      </nvGraphicFramePr>
      <xfrm/>
      <a:graphic>
        <a:graphicData uri="http://schemas.openxmlformats.org/drawingml/2006/chart">
          <c:chart r:id="rId1"/>
        </a:graphicData>
      </a:graphic>
    </graphicFrame>
    <clientData/>
  </oneCellAnchor>
  <oneCellAnchor>
    <from>
      <col>4</col>
      <colOff>0</colOff>
      <row>20</row>
      <rowOff>0</rowOff>
    </from>
    <ext cx="576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OffeneTodoErlaeuterungen" displayName="OffeneTodoErlaeuterungen" ref="A4:J27" headerRowCount="1" totalsRowShown="0">
  <autoFilter ref="A4:J27"/>
  <tableColumns count="10">
    <tableColumn id="1" name="Nr." dataDxfId="0"/>
    <tableColumn id="2" name="Dringlichkeit" dataDxfId="0"/>
    <tableColumn id="3" name="Bereich" dataDxfId="0"/>
    <tableColumn id="4" name="ID" dataDxfId="0"/>
    <tableColumn id="5" name="Thema" dataDxfId="0"/>
    <tableColumn id="6" name="Owner" dataDxfId="0"/>
    <tableColumn id="7" name="Status"/>
    <tableColumn id="8" name="Worum geht es?" dataDxfId="0"/>
    <tableColumn id="9" name="Was ist zu tun / zu entscheiden?" dataDxfId="0"/>
    <tableColumn id="10" name="Erledigt, wenn …"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5.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tabColor rgb="001F3864"/>
    <outlinePr summaryBelow="1" summaryRight="1"/>
    <pageSetUpPr fitToPage="1"/>
  </sheetPr>
  <dimension ref="A1:Q32"/>
  <sheetViews>
    <sheetView showGridLines="0" tabSelected="1" workbookViewId="0">
      <pane xSplit="2" ySplit="7" topLeftCell="C8" activePane="bottomRight" state="frozen"/>
      <selection pane="topRight"/>
      <selection pane="bottomLeft"/>
      <selection pane="bottomRight" activeCell="A1" sqref="A1"/>
    </sheetView>
  </sheetViews>
  <sheetFormatPr baseColWidth="8" defaultRowHeight="15"/>
  <cols>
    <col width="8" customWidth="1" style="48" min="1" max="1"/>
    <col width="36" customWidth="1" style="48" min="2" max="2"/>
    <col width="13" customWidth="1" style="48" min="3" max="3"/>
    <col width="11" customWidth="1" style="48" min="4" max="4"/>
    <col width="22" customWidth="1" style="48" min="5" max="5"/>
    <col width="26" customWidth="1" style="48" min="6" max="6"/>
    <col width="13" customWidth="1" style="48" min="7" max="7"/>
    <col width="15" customWidth="1" style="48" min="8" max="8"/>
    <col width="13" customWidth="1" style="48" min="9" max="9"/>
    <col width="10" customWidth="1" style="48" min="10" max="10"/>
    <col width="46" customWidth="1" style="48" min="11" max="11"/>
    <col width="38" customWidth="1" style="48" min="12" max="12"/>
    <col width="42" customWidth="1" style="48" min="13" max="13"/>
    <col hidden="1" width="13" customWidth="1" style="48" min="16" max="16"/>
    <col hidden="1" width="13" customWidth="1" style="48" min="17" max="17"/>
  </cols>
  <sheetData>
    <row r="1" ht="36" customHeight="1" s="48">
      <c r="A1" s="73" t="inlineStr">
        <is>
          <t>Vorhaben nach HERMES  ·  Übersicht für die Geschäftsleitung</t>
        </is>
      </c>
    </row>
    <row r="2" ht="20" customHeight="1" s="48">
      <c r="A2" s="74" t="inlineStr">
        <is>
          <t>Stand 29.09.2026  ·  eine Zeile je Vorhaben  ·  Rollen mit «Vorschlag» sind aus der Dokumentation abgeleitet und noch nicht bestätigt</t>
        </is>
      </c>
    </row>
    <row r="4" ht="18" customHeight="1" s="48">
      <c r="A4" s="75" t="inlineStr">
        <is>
          <t>VORHABEN</t>
        </is>
      </c>
      <c r="B4" s="76" t="n"/>
      <c r="C4" s="77" t="inlineStr">
        <is>
          <t>● IM PLAN</t>
        </is>
      </c>
      <c r="D4" s="78" t="n"/>
      <c r="E4" s="79" t="inlineStr">
        <is>
          <t>● ACHTUNG</t>
        </is>
      </c>
      <c r="F4" s="80" t="n"/>
      <c r="G4" s="81" t="inlineStr">
        <is>
          <t>● KRITISCH</t>
        </is>
      </c>
      <c r="H4" s="82" t="n"/>
      <c r="I4" s="136" t="inlineStr">
        <is>
          <t>● NEU</t>
        </is>
      </c>
      <c r="J4" s="137" t="n"/>
      <c r="K4" s="83" t="inlineStr">
        <is>
          <t>FREIGABE FEHLT</t>
        </is>
      </c>
      <c r="L4" s="84" t="n"/>
      <c r="M4" s="83" t="inlineStr">
        <is>
          <t>ROLLE OFFEN</t>
        </is>
      </c>
    </row>
    <row r="5" ht="38" customHeight="1" s="48">
      <c r="A5" s="85" t="n">
        <v>12</v>
      </c>
      <c r="B5" s="76" t="n"/>
      <c r="C5" s="86" t="n">
        <v>3</v>
      </c>
      <c r="D5" s="78" t="n"/>
      <c r="E5" s="87" t="n">
        <v>4</v>
      </c>
      <c r="F5" s="80" t="n"/>
      <c r="G5" s="88" t="n">
        <v>2</v>
      </c>
      <c r="H5" s="82" t="n"/>
      <c r="I5" s="138" t="n">
        <v>3</v>
      </c>
      <c r="J5" s="137" t="n"/>
      <c r="K5" s="89" t="n">
        <v>9</v>
      </c>
      <c r="L5" s="84" t="n"/>
      <c r="M5" s="90" t="n">
        <v>15</v>
      </c>
    </row>
    <row r="7" ht="30" customHeight="1" s="48">
      <c r="A7" s="91" t="inlineStr">
        <is>
          <t>ID</t>
        </is>
      </c>
      <c r="B7" s="91" t="inlineStr">
        <is>
          <t>Vorhaben</t>
        </is>
      </c>
      <c r="C7" s="91" t="inlineStr">
        <is>
          <t>HERMES-Stufe</t>
        </is>
      </c>
      <c r="D7" s="91" t="inlineStr">
        <is>
          <t>Ampel</t>
        </is>
      </c>
      <c r="E7" s="91" t="inlineStr">
        <is>
          <t>Auftraggeber</t>
        </is>
      </c>
      <c r="F7" s="91" t="inlineStr">
        <is>
          <t>Anwendervertreter</t>
        </is>
      </c>
      <c r="G7" s="91" t="inlineStr">
        <is>
          <t>① Freigabe</t>
        </is>
      </c>
      <c r="H7" s="91" t="inlineStr">
        <is>
          <t>② Abnahme</t>
        </is>
      </c>
      <c r="I7" s="91" t="inlineStr">
        <is>
          <t>③ Abschluss</t>
        </is>
      </c>
      <c r="J7" s="91" t="inlineStr">
        <is>
          <t>Offene Aufgaben</t>
        </is>
      </c>
      <c r="K7" s="91" t="inlineStr">
        <is>
          <t>Stand in einem Satz</t>
        </is>
      </c>
      <c r="L7" s="91" t="inlineStr">
        <is>
          <t>Nächster Entscheid</t>
        </is>
      </c>
      <c r="M7" s="91" t="inlineStr">
        <is>
          <t>Erledigt, wenn</t>
        </is>
      </c>
      <c r="P7" t="inlineStr">
        <is>
          <t>Ampel</t>
        </is>
      </c>
      <c r="Q7" t="inlineStr">
        <is>
          <t>Anzahl</t>
        </is>
      </c>
    </row>
    <row r="8" ht="53" customHeight="1" s="48">
      <c r="A8" s="92" t="inlineStr">
        <is>
          <t>PM-01</t>
        </is>
      </c>
      <c r="B8" s="93" t="inlineStr">
        <is>
          <t>ZLO03: Auswertung auslaufender Materialien korrigieren</t>
        </is>
      </c>
      <c r="C8" s="94" t="inlineStr">
        <is>
          <t>Vorhaben</t>
        </is>
      </c>
      <c r="D8" s="95" t="inlineStr">
        <is>
          <t>●  Gelb</t>
        </is>
      </c>
      <c r="E8" s="96" t="inlineStr">
        <is>
          <t>⚠ festlegen</t>
        </is>
      </c>
      <c r="F8" s="96" t="inlineStr">
        <is>
          <t>⚠ festlegen (Vorschlag: Ann-Katrin Michel)</t>
        </is>
      </c>
      <c r="G8" s="97" t="inlineStr">
        <is>
          <t>○  offen</t>
        </is>
      </c>
      <c r="H8" s="97" t="inlineStr">
        <is>
          <t>○  offen</t>
        </is>
      </c>
      <c r="I8" s="97" t="inlineStr">
        <is>
          <t>○  offen</t>
        </is>
      </c>
      <c r="J8" s="98" t="n">
        <v>2</v>
      </c>
      <c r="K8" s="99" t="inlineStr">
        <is>
          <t>Die Korrektur ist fertig; Test und Übernahme ins Produktivsystem stehen seit dem 14.08.2026 aus.</t>
        </is>
      </c>
      <c r="L8" s="99" t="inlineStr">
        <is>
          <t>Anwendervertreter und Abnahmekriterien nachträglich festlegen, dann testen und abnehmen.</t>
        </is>
      </c>
      <c r="M8" s="99" t="inlineStr">
        <is>
          <t>Mengen und Materialliste stimmen im Produktivsystem mit einer vereinbarten Stichprobe überein.</t>
        </is>
      </c>
      <c r="P8" t="inlineStr">
        <is>
          <t>Grün</t>
        </is>
      </c>
      <c r="Q8" t="n">
        <v>3</v>
      </c>
    </row>
    <row r="9" ht="53" customHeight="1" s="48">
      <c r="A9" s="100" t="inlineStr">
        <is>
          <t>PM-02</t>
        </is>
      </c>
      <c r="B9" s="101" t="inlineStr">
        <is>
          <t>ZC12: Fehler bei Nullmengen</t>
        </is>
      </c>
      <c r="C9" s="102" t="inlineStr">
        <is>
          <t>Kleinauftrag</t>
        </is>
      </c>
      <c r="D9" s="103" t="inlineStr">
        <is>
          <t>●  Rot</t>
        </is>
      </c>
      <c r="E9" s="104" t="inlineStr">
        <is>
          <t>⚠ festlegen</t>
        </is>
      </c>
      <c r="F9" s="104" t="inlineStr">
        <is>
          <t>⚠ festlegen</t>
        </is>
      </c>
      <c r="G9" s="105" t="inlineStr">
        <is>
          <t>–  nicht nötig</t>
        </is>
      </c>
      <c r="H9" s="105" t="inlineStr">
        <is>
          <t>–  nicht nötig</t>
        </is>
      </c>
      <c r="I9" s="105" t="inlineStr">
        <is>
          <t>–  nicht nötig</t>
        </is>
      </c>
      <c r="J9" s="106" t="n">
        <v>1</v>
      </c>
      <c r="K9" s="107" t="inlineStr">
        <is>
          <t>Die Ursache ist eingegrenzt und eine korrigierte Fassung vorbereitet, aber noch nicht im System.</t>
        </is>
      </c>
      <c r="L9" s="107" t="inlineStr">
        <is>
          <t>Korrigierte Fassung einspielen und den Fall nachtesten.</t>
        </is>
      </c>
      <c r="M9" s="107" t="inlineStr">
        <is>
          <t>Nullmengen werden korrekt angezeigt.</t>
        </is>
      </c>
      <c r="P9" t="inlineStr">
        <is>
          <t>Gelb</t>
        </is>
      </c>
      <c r="Q9" t="n">
        <v>4</v>
      </c>
    </row>
    <row r="10" ht="53" customHeight="1" s="48">
      <c r="A10" s="92" t="inlineStr">
        <is>
          <t>PM-03</t>
        </is>
      </c>
      <c r="B10" s="93" t="inlineStr">
        <is>
          <t>ZZPRDAT: Produktionsdatum am Fertigungsauftrag</t>
        </is>
      </c>
      <c r="C10" s="94" t="inlineStr">
        <is>
          <t>Vorhaben</t>
        </is>
      </c>
      <c r="D10" s="95" t="inlineStr">
        <is>
          <t>●  Gelb</t>
        </is>
      </c>
      <c r="E10" s="96" t="inlineStr">
        <is>
          <t>⚠ festlegen</t>
        </is>
      </c>
      <c r="F10" s="108" t="inlineStr">
        <is>
          <t>Vorschlag: Lucas Castro, Florian Waechter</t>
        </is>
      </c>
      <c r="G10" s="97" t="inlineStr">
        <is>
          <t>○  offen</t>
        </is>
      </c>
      <c r="H10" s="97" t="inlineStr">
        <is>
          <t>○  offen</t>
        </is>
      </c>
      <c r="I10" s="97" t="inlineStr">
        <is>
          <t>○  offen</t>
        </is>
      </c>
      <c r="J10" s="98" t="n">
        <v>1</v>
      </c>
      <c r="K10" s="99" t="inlineStr">
        <is>
          <t>Die Lösung ist gebaut und im Testsystem vollständig geprüft; die Abnahmeanfrage ist vorbereitet, aber noch nicht versendet.</t>
        </is>
      </c>
      <c r="L10" s="99" t="inlineStr">
        <is>
          <t>Abnahmeanfrage versenden.</t>
        </is>
      </c>
      <c r="M10" s="99" t="inlineStr">
        <is>
          <t>Die Abnahme liegt schriftlich vor, Etikett und Typenschild sind geprüft.</t>
        </is>
      </c>
      <c r="P10" t="inlineStr">
        <is>
          <t>Rot</t>
        </is>
      </c>
      <c r="Q10" t="n">
        <v>2</v>
      </c>
    </row>
    <row r="11" ht="53" customHeight="1" s="48">
      <c r="A11" s="100" t="inlineStr">
        <is>
          <t>PM-04</t>
        </is>
      </c>
      <c r="B11" s="101" t="inlineStr">
        <is>
          <t>Einkaufs-Dashboard mit Drilldown und Lagerwert</t>
        </is>
      </c>
      <c r="C11" s="109" t="inlineStr">
        <is>
          <t>Projekt</t>
        </is>
      </c>
      <c r="D11" s="110" t="inlineStr">
        <is>
          <t>●  Grün</t>
        </is>
      </c>
      <c r="E11" s="104" t="inlineStr">
        <is>
          <t>⚠ festlegen</t>
        </is>
      </c>
      <c r="F11" s="111" t="inlineStr">
        <is>
          <t>Vorschlag: Einkauf (Marco, Armin)</t>
        </is>
      </c>
      <c r="G11" s="112" t="inlineStr">
        <is>
          <t>○  offen</t>
        </is>
      </c>
      <c r="H11" s="112" t="inlineStr">
        <is>
          <t>○  offen</t>
        </is>
      </c>
      <c r="I11" s="112" t="inlineStr">
        <is>
          <t>○  offen</t>
        </is>
      </c>
      <c r="J11" s="106" t="n">
        <v>4</v>
      </c>
      <c r="K11" s="107" t="inlineStr">
        <is>
          <t>Produktiv; zwei Nacharbeiten im SAP und drei Beschriftungen sind offen.</t>
        </is>
      </c>
      <c r="L11" s="107" t="inlineStr">
        <is>
          <t>Nacharbeiten im SAP anstossen.</t>
        </is>
      </c>
      <c r="M11" s="107" t="inlineStr">
        <is>
          <t>Der Einkauf nutzt das Dashboard ohne Rückfragen, der Lagerwert ist gegen SAP abgestimmt.</t>
        </is>
      </c>
      <c r="P11" t="inlineStr">
        <is>
          <t>Neu</t>
        </is>
      </c>
      <c r="Q11" t="n">
        <v>3</v>
      </c>
    </row>
    <row r="12" ht="38" customHeight="1" s="48">
      <c r="A12" s="92" t="inlineStr">
        <is>
          <t>PM-05</t>
        </is>
      </c>
      <c r="B12" s="93" t="inlineStr">
        <is>
          <t>Finance: Gruppenreporting Umsatz und Marge</t>
        </is>
      </c>
      <c r="C12" s="109" t="inlineStr">
        <is>
          <t>Projekt</t>
        </is>
      </c>
      <c r="D12" s="95" t="inlineStr">
        <is>
          <t>●  Gelb</t>
        </is>
      </c>
      <c r="E12" s="108" t="inlineStr">
        <is>
          <t>Vorschlag: Andreas Stoller</t>
        </is>
      </c>
      <c r="F12" s="108" t="inlineStr">
        <is>
          <t>Vorschlag: Andreas Stoller</t>
        </is>
      </c>
      <c r="G12" s="97" t="inlineStr">
        <is>
          <t>○  offen</t>
        </is>
      </c>
      <c r="H12" s="97" t="inlineStr">
        <is>
          <t>○  offen</t>
        </is>
      </c>
      <c r="I12" s="97" t="inlineStr">
        <is>
          <t>○  offen</t>
        </is>
      </c>
      <c r="J12" s="98" t="n">
        <v>18</v>
      </c>
      <c r="K12" s="99" t="inlineStr">
        <is>
          <t>Produktiv; mehrere Fachentscheide zu Marge, Umsatzbegriff und Kostenregeln sind offen.</t>
        </is>
      </c>
      <c r="L12" s="99" t="inlineStr">
        <is>
          <t>Offene Fachentscheide mit Andreas Stoller abschliessen.</t>
        </is>
      </c>
      <c r="M12" s="99" t="inlineStr">
        <is>
          <t>Andreas Stoller gibt Gruppenmarge und Umsatzdefinition schriftlich frei.</t>
        </is>
      </c>
    </row>
    <row r="13" ht="53" customHeight="1" s="48">
      <c r="A13" s="100" t="inlineStr">
        <is>
          <t>PM-06</t>
        </is>
      </c>
      <c r="B13" s="101" t="inlineStr">
        <is>
          <t>PPWR: Stoffcompliance über SAP-Klassifizierung</t>
        </is>
      </c>
      <c r="C13" s="94" t="inlineStr">
        <is>
          <t>Vorhaben</t>
        </is>
      </c>
      <c r="D13" s="110" t="inlineStr">
        <is>
          <t>●  Grün</t>
        </is>
      </c>
      <c r="E13" s="104" t="inlineStr">
        <is>
          <t>⚠ festlegen</t>
        </is>
      </c>
      <c r="F13" s="111" t="inlineStr">
        <is>
          <t>Vorschlag: Adil</t>
        </is>
      </c>
      <c r="G13" s="112" t="inlineStr">
        <is>
          <t>○  offen</t>
        </is>
      </c>
      <c r="H13" s="113" t="inlineStr">
        <is>
          <t>✔  20.08.2026</t>
        </is>
      </c>
      <c r="I13" s="112" t="inlineStr">
        <is>
          <t>○  offen</t>
        </is>
      </c>
      <c r="J13" s="106" t="n">
        <v>0</v>
      </c>
      <c r="K13" s="107" t="inlineStr">
        <is>
          <t>Pilotmaterialien sind zugeordnet und laut Ingo abgenommen; die Übernahme ins Produktivsystem folgt nach Plan.</t>
        </is>
      </c>
      <c r="L13" s="107" t="inlineStr">
        <is>
          <t>Übergabe in den Betrieb dokumentieren.</t>
        </is>
      </c>
      <c r="M13" s="107" t="inlineStr">
        <is>
          <t>Die Klassifizierung ist produktiv und dokumentiert übergeben.</t>
        </is>
      </c>
    </row>
    <row r="14" ht="38" customHeight="1" s="48">
      <c r="A14" s="92" t="inlineStr">
        <is>
          <t>PM-07</t>
        </is>
      </c>
      <c r="B14" s="93" t="inlineStr">
        <is>
          <t>HR: automatische Auswertung der Personaldaten</t>
        </is>
      </c>
      <c r="C14" s="94" t="inlineStr">
        <is>
          <t>Vorhaben</t>
        </is>
      </c>
      <c r="D14" s="95" t="inlineStr">
        <is>
          <t>●  Gelb</t>
        </is>
      </c>
      <c r="E14" s="96" t="inlineStr">
        <is>
          <t>⚠ festlegen</t>
        </is>
      </c>
      <c r="F14" s="108" t="inlineStr">
        <is>
          <t>Vorschlag: Sonja Richter</t>
        </is>
      </c>
      <c r="G14" s="97" t="inlineStr">
        <is>
          <t>○  offen</t>
        </is>
      </c>
      <c r="H14" s="97" t="inlineStr">
        <is>
          <t>○  offen</t>
        </is>
      </c>
      <c r="I14" s="97" t="inlineStr">
        <is>
          <t>○  offen</t>
        </is>
      </c>
      <c r="J14" s="98" t="n">
        <v>3</v>
      </c>
      <c r="K14" s="99" t="inlineStr">
        <is>
          <t>Die fachlichen Wünsche sind umgesetzt; es fehlt die Exportschnittstelle der externen Firma.</t>
        </is>
      </c>
      <c r="L14" s="99" t="inlineStr">
        <is>
          <t>Termin der externen Firma einfordern.</t>
        </is>
      </c>
      <c r="M14" s="99" t="inlineStr">
        <is>
          <t>Die monatliche Auswertung läuft ohne Handarbeit.</t>
        </is>
      </c>
    </row>
    <row r="15" ht="53" customHeight="1" s="48">
      <c r="A15" s="100" t="inlineStr">
        <is>
          <t>PM-08</t>
        </is>
      </c>
      <c r="B15" s="101" t="inlineStr">
        <is>
          <t>Bahnmarkt: Railway-Auswertung für Deutschland und die Standorte</t>
        </is>
      </c>
      <c r="C15" s="94" t="inlineStr">
        <is>
          <t>Vorhaben</t>
        </is>
      </c>
      <c r="D15" s="103" t="inlineStr">
        <is>
          <t>●  Rot</t>
        </is>
      </c>
      <c r="E15" s="111" t="inlineStr">
        <is>
          <t>Vorschlag: Rohail Munir</t>
        </is>
      </c>
      <c r="F15" s="111" t="inlineStr">
        <is>
          <t>Vorschlag: Patrik</t>
        </is>
      </c>
      <c r="G15" s="112" t="inlineStr">
        <is>
          <t>○  offen</t>
        </is>
      </c>
      <c r="H15" s="112" t="inlineStr">
        <is>
          <t>○  offen</t>
        </is>
      </c>
      <c r="I15" s="112" t="inlineStr">
        <is>
          <t>○  offen</t>
        </is>
      </c>
      <c r="J15" s="106" t="n">
        <v>8</v>
      </c>
      <c r="K15" s="107" t="inlineStr">
        <is>
          <t>Der Termin vom 08.09.2026 ist überschritten; Deutschland ist gelöst, die übrigen Standorte sind offen.</t>
        </is>
      </c>
      <c r="L15" s="107" t="inlineStr">
        <is>
          <t>Neues Zieldatum mit Rohail Munir vereinbaren.</t>
        </is>
      </c>
      <c r="M15" s="107" t="inlineStr">
        <is>
          <t>Rohail Munir hat eine geprüfte Auswertung mit bestätigten Kundenzuordnungen.</t>
        </is>
      </c>
    </row>
    <row r="16" ht="38" customHeight="1" s="48">
      <c r="A16" s="92" t="inlineStr">
        <is>
          <t>PM-09</t>
        </is>
      </c>
      <c r="B16" s="93" t="inlineStr">
        <is>
          <t>Plattform: Tempo der Webapp und stabiler Nachtlauf</t>
        </is>
      </c>
      <c r="C16" s="94" t="inlineStr">
        <is>
          <t>Vorhaben</t>
        </is>
      </c>
      <c r="D16" s="110" t="inlineStr">
        <is>
          <t>●  Grün</t>
        </is>
      </c>
      <c r="E16" s="96" t="inlineStr">
        <is>
          <t>⚠ festlegen</t>
        </is>
      </c>
      <c r="F16" s="96" t="inlineStr">
        <is>
          <t>⚠ festlegen</t>
        </is>
      </c>
      <c r="G16" s="97" t="inlineStr">
        <is>
          <t>○  offen</t>
        </is>
      </c>
      <c r="H16" s="97" t="inlineStr">
        <is>
          <t>○  offen</t>
        </is>
      </c>
      <c r="I16" s="97" t="inlineStr">
        <is>
          <t>○  offen</t>
        </is>
      </c>
      <c r="J16" s="98" t="n">
        <v>2</v>
      </c>
      <c r="K16" s="99" t="inlineStr">
        <is>
          <t>Weitgehend erledigt und produktiv; die Server-Einstellung durch die IT fehlt noch.</t>
        </is>
      </c>
      <c r="L16" s="99" t="inlineStr">
        <is>
          <t>IT stellt den Dauerbetrieb des Servers ein.</t>
        </is>
      </c>
      <c r="M16" s="99" t="inlineStr">
        <is>
          <t>Seiten laden in wenigen Sekunden, der Nachtlauf läuft täglich.</t>
        </is>
      </c>
    </row>
    <row r="17" ht="68" customHeight="1" s="48">
      <c r="A17" s="100" t="inlineStr">
        <is>
          <t>PM-10</t>
        </is>
      </c>
      <c r="B17" s="101" t="inlineStr">
        <is>
          <t>Ablösung Smartsheet</t>
        </is>
      </c>
      <c r="C17" s="94" t="inlineStr">
        <is>
          <t>Vorhaben</t>
        </is>
      </c>
      <c r="D17" s="139" t="inlineStr">
        <is>
          <t>●  Neu</t>
        </is>
      </c>
      <c r="E17" s="104" t="inlineStr">
        <is>
          <t>⚠ festlegen</t>
        </is>
      </c>
      <c r="F17" s="111" t="inlineStr">
        <is>
          <t>Vorschlag: Philip Steiger</t>
        </is>
      </c>
      <c r="G17" s="112" t="inlineStr">
        <is>
          <t>○  offen</t>
        </is>
      </c>
      <c r="H17" s="112" t="inlineStr">
        <is>
          <t>○  offen</t>
        </is>
      </c>
      <c r="I17" s="112" t="inlineStr">
        <is>
          <t>○  offen</t>
        </is>
      </c>
      <c r="J17" s="106" t="n">
        <v>1</v>
      </c>
      <c r="K17" s="107" t="inlineStr">
        <is>
          <t>Neu aufgenommen am 29.09.2026; es gibt noch keinen Auftrag, keine Anforderungen und keine Aufwandschätzung. Philip Steiger testet das Project Power Pack.</t>
        </is>
      </c>
      <c r="L17" s="107" t="inlineStr">
        <is>
          <t>Projektauftrag in der Initialisierung schreiben und dabei die Stufe nach Aufwand festlegen.</t>
        </is>
      </c>
      <c r="M17" s="107" t="inlineStr">
        <is>
          <t>Der Projektauftrag ist freigegeben, der Nachfolger von Smartsheet ist bestimmt.</t>
        </is>
      </c>
    </row>
    <row r="18" ht="68" customHeight="1" s="48">
      <c r="A18" s="92" t="inlineStr">
        <is>
          <t>PM-11</t>
        </is>
      </c>
      <c r="B18" s="93" t="inlineStr">
        <is>
          <t>Data Lake: Leistung analysieren und messen</t>
        </is>
      </c>
      <c r="C18" s="102" t="inlineStr">
        <is>
          <t>Kleinauftrag</t>
        </is>
      </c>
      <c r="D18" s="139" t="inlineStr">
        <is>
          <t>●  Neu</t>
        </is>
      </c>
      <c r="E18" s="96" t="inlineStr">
        <is>
          <t>⚠ festlegen</t>
        </is>
      </c>
      <c r="F18" s="96" t="inlineStr">
        <is>
          <t>⚠ festlegen</t>
        </is>
      </c>
      <c r="G18" s="140" t="inlineStr">
        <is>
          <t>–  nicht nötig</t>
        </is>
      </c>
      <c r="H18" s="140" t="inlineStr">
        <is>
          <t>–  nicht nötig</t>
        </is>
      </c>
      <c r="I18" s="140" t="inlineStr">
        <is>
          <t>–  nicht nötig</t>
        </is>
      </c>
      <c r="J18" s="98" t="n">
        <v>1</v>
      </c>
      <c r="K18" s="99" t="inlineStr">
        <is>
          <t>Neu aufgenommen am 29.09.2026 als Kleinauftrag «Analyse und Messung»; die Abgrenzung zu PM-09 (Tempo der Webapp, am 28.09.2026 weitgehend erledigt) ist zu klären.</t>
        </is>
      </c>
      <c r="L18" s="99" t="inlineStr">
        <is>
          <t>Klären, welche Leistung gemeint ist, und danach messen; je nach Befund ein Vorhaben daraus machen.</t>
        </is>
      </c>
      <c r="M18" s="99" t="inlineStr">
        <is>
          <t>Ein Messbericht mit Befund und Empfehlung liegt vor.</t>
        </is>
      </c>
    </row>
    <row r="19" ht="68" customHeight="1" s="48">
      <c r="A19" s="100" t="inlineStr">
        <is>
          <t>PM-12</t>
        </is>
      </c>
      <c r="B19" s="101" t="inlineStr">
        <is>
          <t>Power BI: je Dashboard ein Anwendervertreter</t>
        </is>
      </c>
      <c r="C19" s="102" t="inlineStr">
        <is>
          <t>Kleinauftrag</t>
        </is>
      </c>
      <c r="D19" s="139" t="inlineStr">
        <is>
          <t>●  Neu</t>
        </is>
      </c>
      <c r="E19" s="104" t="inlineStr">
        <is>
          <t>⚠ festlegen</t>
        </is>
      </c>
      <c r="F19" s="104" t="inlineStr">
        <is>
          <t>⚠ festlegen</t>
        </is>
      </c>
      <c r="G19" s="105" t="inlineStr">
        <is>
          <t>–  nicht nötig</t>
        </is>
      </c>
      <c r="H19" s="105" t="inlineStr">
        <is>
          <t>–  nicht nötig</t>
        </is>
      </c>
      <c r="I19" s="105" t="inlineStr">
        <is>
          <t>–  nicht nötig</t>
        </is>
      </c>
      <c r="J19" s="106" t="n">
        <v>1</v>
      </c>
      <c r="K19" s="107" t="inlineStr">
        <is>
          <t>Neu aufgenommen am 29.09.2026; die Liste der Dashboards und ihre Zuordnung zu Fachbereichen fehlt noch.</t>
        </is>
      </c>
      <c r="L19" s="107" t="inlineStr">
        <is>
          <t>Dashboards auflisten und je Dashboard einen Anwendervertreter aus dem Fachbereich benennen, der auch für die Datenqualität verantwortlich ist.</t>
        </is>
      </c>
      <c r="M19" s="107" t="inlineStr">
        <is>
          <t>Jedes produktive Dashboard hat einen benannten Anwendervertreter.</t>
        </is>
      </c>
    </row>
    <row r="21">
      <c r="K21" s="114" t="inlineStr">
        <is>
          <t>So wird eingestuft (HERMES zugeschnitten)</t>
        </is>
      </c>
    </row>
    <row r="22">
      <c r="K22" s="115" t="inlineStr">
        <is>
          <t>Stufe</t>
        </is>
      </c>
      <c r="L22" s="115" t="inlineStr">
        <is>
          <t>Aufwand</t>
        </is>
      </c>
      <c r="M22" s="115" t="inlineStr">
        <is>
          <t>Vorgehen</t>
        </is>
      </c>
    </row>
    <row r="23">
      <c r="K23" s="116" t="inlineStr">
        <is>
          <t>Kleinauftrag</t>
        </is>
      </c>
      <c r="L23" s="117" t="inlineStr">
        <is>
          <t>unter ca. 5 Personentage</t>
        </is>
      </c>
      <c r="M23" s="117" t="inlineStr">
        <is>
          <t>Ticket, keine HERMES-Dokumente</t>
        </is>
      </c>
    </row>
    <row r="24">
      <c r="K24" s="118" t="inlineStr">
        <is>
          <t>Vorhaben</t>
        </is>
      </c>
      <c r="L24" s="117" t="inlineStr">
        <is>
          <t>ca. 5 bis 40 Personentage</t>
        </is>
      </c>
      <c r="M24" s="117" t="inlineStr">
        <is>
          <t>Auftrag, Abnahme, Statuszeile</t>
        </is>
      </c>
    </row>
    <row r="25">
      <c r="K25" s="119" t="inlineStr">
        <is>
          <t>Projekt</t>
        </is>
      </c>
      <c r="L25" s="117" t="inlineStr">
        <is>
          <t>über ca. 40 Personentage</t>
        </is>
      </c>
      <c r="M25" s="117" t="inlineStr">
        <is>
          <t>HERMES zugeschnitten, mit Risikoliste, eventuell Ausschuss</t>
        </is>
      </c>
    </row>
    <row r="27" ht="28" customHeight="1" s="48">
      <c r="K27" s="120" t="inlineStr">
        <is>
          <t>① Freigabe</t>
        </is>
      </c>
      <c r="L27" s="121" t="inlineStr">
        <is>
          <t>Der Auftraggeber hat den Projektauftrag unterschrieben.</t>
        </is>
      </c>
    </row>
    <row r="28" ht="28" customHeight="1" s="48">
      <c r="K28" s="120" t="inlineStr">
        <is>
          <t>② Abnahme</t>
        </is>
      </c>
      <c r="L28" s="121" t="inlineStr">
        <is>
          <t>Der Anwendervertreter bestätigt fachlich, das Ergebnis ist produktiv.</t>
        </is>
      </c>
    </row>
    <row r="29" ht="28" customHeight="1" s="48">
      <c r="K29" s="120" t="inlineStr">
        <is>
          <t>③ Abschluss</t>
        </is>
      </c>
      <c r="L29" s="121" t="inlineStr">
        <is>
          <t>Übergeben in den Betrieb, mit kurzer Betriebsdokumentation.</t>
        </is>
      </c>
    </row>
    <row r="30" ht="28" customHeight="1" s="48">
      <c r="K30" s="120" t="inlineStr">
        <is>
          <t>✔ / ○</t>
        </is>
      </c>
      <c r="L30" s="121" t="inlineStr">
        <is>
          <t>Erledigt mit Datum / noch offen.</t>
        </is>
      </c>
    </row>
    <row r="31" ht="28" customHeight="1" s="48">
      <c r="K31" s="120" t="inlineStr">
        <is>
          <t>⚠ festlegen</t>
        </is>
      </c>
      <c r="L31" s="121" t="inlineStr">
        <is>
          <t>Die Rolle ist noch niemandem zugeordnet.</t>
        </is>
      </c>
    </row>
    <row r="32" ht="40" customHeight="1" s="48">
      <c r="K32" s="120" t="inlineStr">
        <is>
          <t>● Ampel</t>
        </is>
      </c>
      <c r="L32" s="121" t="inlineStr">
        <is>
          <t>Grün im Plan · Gelb wartet auf Entscheid oder Zulieferung · Rot blockiert oder Termin überschritten · Grau neu, noch ohne Stand.</t>
        </is>
      </c>
    </row>
  </sheetData>
  <mergeCells count="21">
    <mergeCell ref="L32:M32"/>
    <mergeCell ref="C5:D5"/>
    <mergeCell ref="E5:F5"/>
    <mergeCell ref="K5:L5"/>
    <mergeCell ref="L28:M28"/>
    <mergeCell ref="C4:D4"/>
    <mergeCell ref="E4:F4"/>
    <mergeCell ref="L30:M30"/>
    <mergeCell ref="L29:M29"/>
    <mergeCell ref="A1:M1"/>
    <mergeCell ref="A5:B5"/>
    <mergeCell ref="G5:H5"/>
    <mergeCell ref="I5:J5"/>
    <mergeCell ref="L31:M31"/>
    <mergeCell ref="A4:B4"/>
    <mergeCell ref="G4:H4"/>
    <mergeCell ref="I4:J4"/>
    <mergeCell ref="K21:M21"/>
    <mergeCell ref="L27:M27"/>
    <mergeCell ref="K4:L4"/>
    <mergeCell ref="A2:M2"/>
  </mergeCells>
  <conditionalFormatting sqref="J8:J19">
    <cfRule type="dataBar" priority="1">
      <dataBar showValue="1">
        <cfvo type="num" val="0"/>
        <cfvo type="max"/>
        <color rgb="005B9BD5"/>
      </dataBar>
    </cfRule>
  </conditionalFormatting>
  <pageMargins left="0.75" right="0.75" top="1" bottom="1"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4"/>
  <sheetViews>
    <sheetView tabSelected="0" workbookViewId="0">
      <pane xSplit="0" ySplit="1" topLeftCell="A2" activePane="bottomLeft" state="frozenSplit"/>
      <selection activeCell="A1" sqref="A1"/>
    </sheetView>
  </sheetViews>
  <sheetFormatPr baseColWidth="8" defaultRowHeight="15"/>
  <cols>
    <col width="10.710625" customWidth="1" style="47" min="1" max="1"/>
    <col width="42.710625" customWidth="1" style="47" min="2" max="2"/>
    <col width="9.710625" customWidth="1" style="47" min="3" max="3"/>
    <col width="13.710625" customWidth="1" style="47" min="4" max="4"/>
    <col width="55.710625" customWidth="1" style="47" min="5" max="6"/>
  </cols>
  <sheetData>
    <row r="1" ht="22" customHeight="1" s="48">
      <c r="A1" s="49" t="inlineStr">
        <is>
          <t>ID</t>
        </is>
      </c>
      <c r="B1" s="49" t="inlineStr">
        <is>
          <t>Thema</t>
        </is>
      </c>
      <c r="C1" s="49" t="inlineStr">
        <is>
          <t>Prio</t>
        </is>
      </c>
      <c r="D1" s="49" t="inlineStr">
        <is>
          <t>Fortschritt</t>
        </is>
      </c>
      <c r="E1" s="49" t="inlineStr">
        <is>
          <t>Kurzstatus</t>
        </is>
      </c>
      <c r="F1" s="49" t="inlineStr">
        <is>
          <t>Naechster Schritt</t>
        </is>
      </c>
    </row>
    <row r="2" ht="34" customHeight="1" s="48">
      <c r="A2" s="50" t="inlineStr">
        <is>
          <t>PM-01</t>
        </is>
      </c>
      <c r="B2" s="51" t="inlineStr">
        <is>
          <t>ZLO03: fehlende Materialien und falsche Mengen</t>
        </is>
      </c>
      <c r="C2" s="52" t="inlineStr">
        <is>
          <t>Hoch</t>
        </is>
      </c>
      <c r="D2" s="53" t="n">
        <v>0.6</v>
      </c>
      <c r="E2" s="51" t="inlineStr">
        <is>
          <t>Fixes 10-18 fertig, aber Transaktion startet Z_ZLO03_TURBO2 statt der gepatchten Version.</t>
        </is>
      </c>
      <c r="F2" s="51" t="inlineStr">
        <is>
          <t>Diagnoselauf p_diag, danach Transport nach B76.</t>
        </is>
      </c>
    </row>
    <row r="3" ht="34" customHeight="1" s="48">
      <c r="A3" s="50" t="inlineStr">
        <is>
          <t>PM-02</t>
        </is>
      </c>
      <c r="B3" s="51" t="inlineStr">
        <is>
          <t>ZC12: Fehler bei Nullmengen</t>
        </is>
      </c>
      <c r="C3" s="54" t="inlineStr">
        <is>
          <t>Mittel</t>
        </is>
      </c>
      <c r="D3" s="53" t="n">
        <v>0.25</v>
      </c>
      <c r="E3" s="51" t="inlineStr">
        <is>
          <t>Blockiert, Tracing ist tot (p_debug deaktiviert).</t>
        </is>
      </c>
      <c r="F3" s="51" t="inlineStr">
        <is>
          <t>Vorfrage in SE93: ist ZC12 = Z_ABGLEICH_KTSCH?</t>
        </is>
      </c>
    </row>
    <row r="4" ht="34" customHeight="1" s="48">
      <c r="A4" s="50" t="inlineStr">
        <is>
          <t>PM-03</t>
        </is>
      </c>
      <c r="B4" s="51" t="inlineStr">
        <is>
          <t>ZZPRDAT: Produktionsdatum am Fertigungsauftrag</t>
        </is>
      </c>
      <c r="C4" s="52" t="inlineStr">
        <is>
          <t>Hoch</t>
        </is>
      </c>
      <c r="D4" s="53" t="n">
        <v>0.3</v>
      </c>
      <c r="E4" s="51" t="inlineStr">
        <is>
          <t>Root Cause geklaert, Umsetzung fachlich blockiert durch drei offene Klaerungen.</t>
        </is>
      </c>
      <c r="F4" s="51" t="inlineStr">
        <is>
          <t>Aenderungsbelege zu Auftrag 1214608 lesen.</t>
        </is>
      </c>
    </row>
    <row r="5" ht="34" customHeight="1" s="48">
      <c r="A5" s="50" t="inlineStr">
        <is>
          <t>PM-04</t>
        </is>
      </c>
      <c r="B5" s="51" t="inlineStr">
        <is>
          <t>Einkauf: Spend-Dashboard mit Drilldown</t>
        </is>
      </c>
      <c r="C5" s="54" t="inlineStr">
        <is>
          <t>Mittel</t>
        </is>
      </c>
      <c r="D5" s="53" t="n">
        <v>0.9</v>
      </c>
      <c r="E5" s="51" t="inlineStr">
        <is>
          <t>SAP-Direktanbindung produktiv seit 12.08.2026, Materialtext MAKTX seit 18.08.2026.</t>
        </is>
      </c>
      <c r="F5" s="51" t="inlineStr">
        <is>
          <t>D1/D5-Texte pflegen, SEGW-Key auf DISPO_KZ + DISPO korrigieren.</t>
        </is>
      </c>
    </row>
    <row r="6" ht="34" customHeight="1" s="48">
      <c r="A6" s="50" t="inlineStr">
        <is>
          <t>PM-05</t>
        </is>
      </c>
      <c r="B6" s="51" t="inlineStr">
        <is>
          <t>Finance: alle Daten in einem zentralen Excel</t>
        </is>
      </c>
      <c r="C6" s="54" t="inlineStr">
        <is>
          <t>Mittel</t>
        </is>
      </c>
      <c r="D6" s="53" t="n">
        <v>0.85</v>
      </c>
      <c r="E6" s="51" t="inlineStr">
        <is>
          <t>Produktiv; Detailarbeit laeuft im Finance-Issue-Log. ISS-003.4 ist als Option produktiv, Andreas entscheidet die Ausnahme.</t>
        </is>
      </c>
      <c r="F6" s="51" t="inlineStr">
        <is>
          <t>Ueber das Finance-Issue-Log weiterfuehren; CH/AT-Option mit Andreas entscheiden.</t>
        </is>
      </c>
    </row>
    <row r="7" ht="34" customHeight="1" s="48">
      <c r="A7" s="50" t="inlineStr">
        <is>
          <t>PM-06</t>
        </is>
      </c>
      <c r="B7" s="51" t="inlineStr">
        <is>
          <t>PPWR und Stoffcompliance ueber SAP-Klassifizierung</t>
        </is>
      </c>
      <c r="C7" s="54" t="inlineStr">
        <is>
          <t>Mittel</t>
        </is>
      </c>
      <c r="D7" s="53" t="n">
        <v>1</v>
      </c>
      <c r="E7" s="51" t="inlineStr">
        <is>
          <t>Erledigt 2026-08-20 laut Ingo: Pilotmaterialien zugeordnet, CL30N-Abnahme gefahren.</t>
        </is>
      </c>
      <c r="F7" s="51" t="inlineStr">
        <is>
          <t>Keiner. P76-Transport bleibt gemaess Anlageprotokoll bis zur Fachfreigabe gesperrt.</t>
        </is>
      </c>
    </row>
    <row r="8" ht="34" customHeight="1" s="48">
      <c r="A8" s="50" t="inlineStr">
        <is>
          <t>PM-07</t>
        </is>
      </c>
      <c r="B8" s="51" t="inlineStr">
        <is>
          <t>HR: automatische Auswertung der REXX-Files</t>
        </is>
      </c>
      <c r="C8" s="54" t="inlineStr">
        <is>
          <t>Mittel</t>
        </is>
      </c>
      <c r="D8" s="53" t="n">
        <v>0</v>
      </c>
      <c r="E8" s="51" t="inlineStr">
        <is>
          <t>Wartet auf die externe Firma; Schnittstelle und Zeitplan sind unbekannt.</t>
        </is>
      </c>
      <c r="F8" s="51" t="inlineStr">
        <is>
          <t>Fertigstellung des automatischen Exporters abwarten, danach Anbindung planen.</t>
        </is>
      </c>
    </row>
    <row r="9" ht="34" customHeight="1" s="48">
      <c r="A9" s="50" t="inlineStr">
        <is>
          <t>PM-08</t>
        </is>
      </c>
      <c r="B9" s="51" t="inlineStr">
        <is>
          <t>Railway: Bahnmarkt Deutschland</t>
        </is>
      </c>
      <c r="C9" s="52" t="inlineStr">
        <is>
          <t>Hoch</t>
        </is>
      </c>
      <c r="D9" s="53" t="n">
        <v>0.7</v>
      </c>
      <c r="E9" s="51" t="inlineStr">
        <is>
          <t>99 gepflegte Bahnbranchen liegen vor; der App-Leser fuer die fachlichen Kundenfelder ist getestet. Der produktive Rohkopf liefert noch nur die interne Adress-ID.</t>
        </is>
      </c>
      <c r="F9" s="51" t="inlineStr">
        <is>
          <t>Alphaplan-Kopfexport um AdressNummer-Kunde, Name, Land und Branche ergaenzen; danach TRDE neu laden und die 99 Nummern bestaetigt uebernehmen.</t>
        </is>
      </c>
    </row>
    <row r="10" ht="34" customHeight="1" s="48">
      <c r="A10" s="50" t="inlineStr">
        <is>
          <t>-</t>
        </is>
      </c>
      <c r="B10" s="51" t="inlineStr">
        <is>
          <t>Einkauf: Lagerwert der Einkaufsteile (Wunsch Armin)</t>
        </is>
      </c>
      <c r="C10" s="54" t="inlineStr">
        <is>
          <t>Mittel</t>
        </is>
      </c>
      <c r="D10" s="53" t="n">
        <v>0.8</v>
      </c>
      <c r="E10" s="51" t="inlineStr">
        <is>
          <t>Produktiv persistent gespeichert; Kachel zeigt CHF 9'205'959 (Stand 24.08.2026).</t>
        </is>
      </c>
      <c r="F10" s="51" t="inlineStr">
        <is>
          <t>MB5L-Abgleich und serverseitigen Einkauf-Lauf als Kettennachweis ausfuehren.</t>
        </is>
      </c>
    </row>
    <row r="11" ht="34" customHeight="1" s="48">
      <c r="A11" s="50" t="inlineStr">
        <is>
          <t>ISS-004.2</t>
        </is>
      </c>
      <c r="B11" s="51" t="inlineStr">
        <is>
          <t>Finance ES: PostingDate Spanien</t>
        </is>
      </c>
      <c r="C11" s="54" t="inlineStr">
        <is>
          <t>Mittel</t>
        </is>
      </c>
      <c r="D11" s="53" t="n">
        <v>0.75</v>
      </c>
      <c r="E11" s="51" t="inlineStr">
        <is>
          <t>Spaltenzuordnung und Nachtrag Januar-Mai sind erledigt; Tagesprozess extern offen.</t>
        </is>
      </c>
      <c r="F11" s="51" t="inlineStr">
        <is>
          <t>Wartet auf serverseitigen Tausch der Sage-Exportversion (7 auf 35 Tage).</t>
        </is>
      </c>
    </row>
    <row r="13">
      <c r="A13" s="55" t="inlineStr">
        <is>
          <t>Hinweis: Fortschritt ist eine Einschaetzung aus dem Text der Quellen, keine gemessene Kennzahl.</t>
        </is>
      </c>
    </row>
    <row r="14">
      <c r="A14" s="55" t="inlineStr">
        <is>
          <t>Quellen: projektmanagement/PROJEKTSTATUS.md (PM-01 bis PM-07), docs/AGENT_COORDINATION.md (aktuellerer Stand) und docs/Issue_Log_Konsolidiert_2026-08-12.tsv (Finance).</t>
        </is>
      </c>
    </row>
  </sheetData>
  <mergeCells count="2">
    <mergeCell ref="A13:F13"/>
    <mergeCell ref="A14:F14"/>
  </mergeCells>
  <conditionalFormatting sqref="D2:D11">
    <cfRule type="dataBar" priority="1">
      <dataBar showValue="1">
        <cfvo type="min"/>
        <cfvo type="max"/>
        <color rgb="FF1F77B4"/>
      </dataBar>
    </cfRule>
  </conditionalFormatting>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3.xml><?xml version="1.0" encoding="utf-8"?>
<worksheet xmlns="http://schemas.openxmlformats.org/spreadsheetml/2006/main">
  <sheetPr>
    <outlinePr summaryBelow="1" summaryRight="1"/>
    <pageSetUpPr/>
  </sheetPr>
  <dimension ref="A1:M52"/>
  <sheetViews>
    <sheetView tabSelected="0" workbookViewId="0">
      <pane ySplit="1" topLeftCell="A2" activePane="bottomLeft" state="frozen"/>
      <selection pane="bottomLeft" activeCell="A1" sqref="A1"/>
    </sheetView>
  </sheetViews>
  <sheetFormatPr baseColWidth="8" defaultRowHeight="15"/>
  <cols>
    <col width="5" customWidth="1" style="47" min="1" max="1"/>
    <col width="14" customWidth="1" style="47" min="2" max="2"/>
    <col width="20" customWidth="1" style="47" min="3" max="3"/>
    <col width="8" customWidth="1" style="47" min="4" max="4"/>
    <col width="30" customWidth="1" style="47" min="5" max="5"/>
    <col width="10" customWidth="1" style="47" min="6" max="6"/>
    <col width="8" customWidth="1" style="47" min="7" max="7"/>
    <col width="12" customWidth="1" style="47" min="8" max="8"/>
    <col width="12" customWidth="1" style="47" min="9" max="9"/>
    <col width="90" customWidth="1" style="47" min="10" max="10"/>
    <col width="13" customWidth="1" style="47" min="11" max="11"/>
    <col width="10" customWidth="1" style="48" min="12" max="12"/>
    <col width="14" customWidth="1" style="48" min="13" max="13"/>
  </cols>
  <sheetData>
    <row r="1" ht="26" customHeight="1" s="48">
      <c r="A1" s="56" t="inlineStr">
        <is>
          <t>Nr</t>
        </is>
      </c>
      <c r="B1" s="56" t="inlineStr">
        <is>
          <t>Dringlichkeit</t>
        </is>
      </c>
      <c r="C1" s="56" t="inlineStr">
        <is>
          <t>Bereich</t>
        </is>
      </c>
      <c r="D1" s="56" t="inlineStr">
        <is>
          <t>ID</t>
        </is>
      </c>
      <c r="E1" s="56" t="inlineStr">
        <is>
          <t>Thema</t>
        </is>
      </c>
      <c r="F1" s="56" t="inlineStr">
        <is>
          <t>Wer</t>
        </is>
      </c>
      <c r="G1" s="56" t="inlineStr">
        <is>
          <t>Prio</t>
        </is>
      </c>
      <c r="H1" s="56" t="inlineStr">
        <is>
          <t>Status</t>
        </is>
      </c>
      <c r="I1" s="56" t="inlineStr">
        <is>
          <t>Fällig</t>
        </is>
      </c>
      <c r="J1" s="56" t="inlineStr">
        <is>
          <t>Nächster Schritt</t>
        </is>
      </c>
      <c r="K1" s="56" t="inlineStr">
        <is>
          <t>Erledigt am</t>
        </is>
      </c>
      <c r="L1" s="56" t="inlineStr">
        <is>
          <t>Vorhaben</t>
        </is>
      </c>
      <c r="M1" s="56" t="inlineStr">
        <is>
          <t>HERMES-Stufe</t>
        </is>
      </c>
    </row>
    <row r="2">
      <c r="A2" s="57" t="inlineStr">
        <is>
          <t>1</t>
        </is>
      </c>
      <c r="B2" s="57" t="inlineStr">
        <is>
          <t>Erledigt</t>
        </is>
      </c>
      <c r="C2" s="57" t="inlineStr">
        <is>
          <t>Finance ES</t>
        </is>
      </c>
      <c r="D2" s="57" t="inlineStr">
        <is>
          <t>ISS-004.2</t>
        </is>
      </c>
      <c r="E2" s="57" t="inlineStr">
        <is>
          <t>Spanien Buchungsdatum</t>
        </is>
      </c>
      <c r="F2" s="57" t="inlineStr">
        <is>
          <t>Ingo</t>
        </is>
      </c>
      <c r="G2" s="57" t="inlineStr">
        <is>
          <t>Mittel</t>
        </is>
      </c>
      <c r="H2" s="58" t="inlineStr">
        <is>
          <t>Erledigt</t>
        </is>
      </c>
      <c r="I2" s="57" t="inlineStr"/>
      <c r="J2" s="57" t="inlineStr">
        <is>
          <t>Entscheid 02.09.2026: Die 7-Tage-Version bleibt im Einsatz; Finance verwendet fuer Spanien InvoiceDate. Kein Wechsel auf die 35-Tage-Version und keine weitere Aktion bei Santi erforderlich.</t>
        </is>
      </c>
      <c r="K2" s="57" t="inlineStr">
        <is>
          <t>02.09.2026</t>
        </is>
      </c>
      <c r="L2" s="57" t="inlineStr">
        <is>
          <t>PM-05</t>
        </is>
      </c>
      <c r="M2" s="122" t="inlineStr">
        <is>
          <t>Projekt</t>
        </is>
      </c>
    </row>
    <row r="3">
      <c r="A3" s="57" t="inlineStr">
        <is>
          <t>2</t>
        </is>
      </c>
      <c r="B3" s="57" t="inlineStr">
        <is>
          <t>Nur terminieren</t>
        </is>
      </c>
      <c r="C3" s="57" t="inlineStr">
        <is>
          <t>Finance ES</t>
        </is>
      </c>
      <c r="D3" s="57" t="inlineStr">
        <is>
          <t>ISS-004.1</t>
        </is>
      </c>
      <c r="E3" s="57" t="inlineStr">
        <is>
          <t>Spanien Januar bis Mai 2026</t>
        </is>
      </c>
      <c r="F3" s="57" t="inlineStr">
        <is>
          <t>Ingo</t>
        </is>
      </c>
      <c r="G3" s="57" t="inlineStr">
        <is>
          <t>Mittel</t>
        </is>
      </c>
      <c r="H3" s="58" t="inlineStr">
        <is>
          <t>Erledigt</t>
        </is>
      </c>
      <c r="I3" s="57" t="inlineStr"/>
      <c r="J3" s="57" t="inlineStr">
        <is>
          <t>Nachtrag und Import am 18.08.2026 bestätigt; keine Aktion</t>
        </is>
      </c>
      <c r="K3" s="57" t="inlineStr"/>
      <c r="L3" s="57" t="inlineStr">
        <is>
          <t>PM-05</t>
        </is>
      </c>
      <c r="M3" s="122" t="inlineStr">
        <is>
          <t>Projekt</t>
        </is>
      </c>
    </row>
    <row r="4">
      <c r="A4" s="57" t="inlineStr">
        <is>
          <t>3</t>
        </is>
      </c>
      <c r="B4" s="57" t="inlineStr">
        <is>
          <t>Heute</t>
        </is>
      </c>
      <c r="C4" s="57" t="inlineStr">
        <is>
          <t>SAP ZC12</t>
        </is>
      </c>
      <c r="D4" s="57" t="inlineStr">
        <is>
          <t>PM-02</t>
        </is>
      </c>
      <c r="E4" s="57" t="inlineStr">
        <is>
          <t>ZC12 Fehler bei Nullmengen</t>
        </is>
      </c>
      <c r="F4" s="57" t="inlineStr">
        <is>
          <t>Ingo</t>
        </is>
      </c>
      <c r="G4" s="57" t="inlineStr">
        <is>
          <t>Mittel</t>
        </is>
      </c>
      <c r="H4" s="59" t="inlineStr">
        <is>
          <t>Läuft</t>
        </is>
      </c>
      <c r="I4" s="57" t="inlineStr"/>
      <c r="J4" s="57" t="inlineStr">
        <is>
          <t>Vorfrage am 04.09.2026 beantwortet: ZC12 ist eine Reporttransaktion auf ZM_ABGLEICH_KTSCH; der Quelltext nennt sich selbst falsch Z_ABGLEICH_KTSCH. Version 3 vom 18.05.2026 ist der komplette Neuaufbau, laut eigener Kopfhistorie vom 28.-30.04.2026 durch I.Kohler; fmt_quan gehört dazu, also Testlücke statt Regression. Die Trace-Infrastruktur samt auskommentiertem p_debug hat KOI am 27.05.2026 eingebaut. Entscheid vom 07.09.2026: scharf schalten. Die geänderte Fassung liegt als saptasks/zc12/ZM_ABGLEICH_KTSCH_nachher.abap, ist aber NOCH NICHT im System - das Zurückschreiben hat der Berechtigungsfilter abgelehnt und muss von Hand abgesetzt werden. Danach den Nullmengenfall tracen; das Trace-Log landet auf dem Applikationsserver unter /tmp, nicht auf dem Arbeitsplatz.</t>
        </is>
      </c>
      <c r="K4" s="57" t="inlineStr"/>
      <c r="L4" s="57" t="inlineStr">
        <is>
          <t>PM-02</t>
        </is>
      </c>
      <c r="M4" s="123" t="inlineStr">
        <is>
          <t>Kleinauftrag</t>
        </is>
      </c>
    </row>
    <row r="5">
      <c r="A5" s="57" t="inlineStr">
        <is>
          <t>4</t>
        </is>
      </c>
      <c r="B5" s="57" t="inlineStr">
        <is>
          <t>Hoch, haengt an anderen</t>
        </is>
      </c>
      <c r="C5" s="57" t="inlineStr">
        <is>
          <t>Finance FR</t>
        </is>
      </c>
      <c r="D5" s="57" t="inlineStr">
        <is>
          <t>ISS-001.2</t>
        </is>
      </c>
      <c r="E5" s="57" t="inlineStr">
        <is>
          <t>Datenzufluss TR FR</t>
        </is>
      </c>
      <c r="F5" s="57" t="inlineStr">
        <is>
          <t>Frankreich / Ingo</t>
        </is>
      </c>
      <c r="G5" s="57" t="inlineStr">
        <is>
          <t>Hoch</t>
        </is>
      </c>
      <c r="H5" s="57" t="inlineStr">
        <is>
          <t>Wartet auf andere</t>
        </is>
      </c>
      <c r="I5" s="57" t="inlineStr"/>
      <c r="J5" s="57" t="inlineStr">
        <is>
          <t>Eskalieren, seit 30.07.2026 keine Faktura mehr (18 Tage)</t>
        </is>
      </c>
      <c r="K5" s="57" t="inlineStr"/>
      <c r="L5" s="57" t="inlineStr">
        <is>
          <t>PM-05</t>
        </is>
      </c>
      <c r="M5" s="122" t="inlineStr">
        <is>
          <t>Projekt</t>
        </is>
      </c>
    </row>
    <row r="6">
      <c r="A6" s="57" t="inlineStr">
        <is>
          <t>5</t>
        </is>
      </c>
      <c r="B6" s="57" t="inlineStr">
        <is>
          <t>Hoch, haengt an anderen</t>
        </is>
      </c>
      <c r="C6" s="57" t="inlineStr">
        <is>
          <t>Finance CH/AT</t>
        </is>
      </c>
      <c r="D6" s="57" t="inlineStr">
        <is>
          <t>ISS-003.4</t>
        </is>
      </c>
      <c r="E6" s="57" t="inlineStr">
        <is>
          <t>Herstellerregel CH/AT</t>
        </is>
      </c>
      <c r="F6" s="57" t="inlineStr">
        <is>
          <t>Andreas</t>
        </is>
      </c>
      <c r="G6" s="57" t="inlineStr">
        <is>
          <t>Hoch</t>
        </is>
      </c>
      <c r="H6" s="57" t="inlineStr">
        <is>
          <t>Wartet auf Entscheid</t>
        </is>
      </c>
      <c r="I6" s="57" t="inlineStr"/>
      <c r="J6" s="57" t="inlineStr">
        <is>
          <t>Produktiven Schalter in Settings vergleichen; Andreas entscheidet, ob Fremdbezug die Herstellerregel als Ausnahme bricht (Default bleibt bisherige Regel)</t>
        </is>
      </c>
      <c r="K6" s="57" t="inlineStr"/>
      <c r="L6" s="57" t="inlineStr">
        <is>
          <t>PM-05</t>
        </is>
      </c>
      <c r="M6" s="122" t="inlineStr">
        <is>
          <t>Projekt</t>
        </is>
      </c>
    </row>
    <row r="7">
      <c r="A7" s="57" t="inlineStr">
        <is>
          <t>6</t>
        </is>
      </c>
      <c r="B7" s="57" t="inlineStr">
        <is>
          <t>Hoch, haengt an anderen</t>
        </is>
      </c>
      <c r="C7" s="57" t="inlineStr">
        <is>
          <t>Finance Gruppenmarge</t>
        </is>
      </c>
      <c r="D7" s="57" t="inlineStr">
        <is>
          <t>ISS-009</t>
        </is>
      </c>
      <c r="E7" s="57" t="inlineStr">
        <is>
          <t>Fachfreigabe Gruppenmarge</t>
        </is>
      </c>
      <c r="F7" s="57" t="inlineStr">
        <is>
          <t>Andreas</t>
        </is>
      </c>
      <c r="G7" s="57" t="inlineStr">
        <is>
          <t>Mittel</t>
        </is>
      </c>
      <c r="H7" s="60" t="inlineStr">
        <is>
          <t>Offen</t>
        </is>
      </c>
      <c r="I7" s="57" t="inlineStr"/>
      <c r="J7" s="57" t="inlineStr">
        <is>
          <t>Termin mit Andreas, Punkt 2 von 3</t>
        </is>
      </c>
      <c r="K7" s="57" t="inlineStr"/>
      <c r="L7" s="57" t="inlineStr">
        <is>
          <t>PM-05</t>
        </is>
      </c>
      <c r="M7" s="122" t="inlineStr">
        <is>
          <t>Projekt</t>
        </is>
      </c>
    </row>
    <row r="8">
      <c r="A8" s="57" t="inlineStr">
        <is>
          <t>7</t>
        </is>
      </c>
      <c r="B8" s="57" t="inlineStr">
        <is>
          <t>Hoch, haengt an anderen</t>
        </is>
      </c>
      <c r="C8" s="57" t="inlineStr">
        <is>
          <t>Finance Abgrenzung</t>
        </is>
      </c>
      <c r="D8" s="57" t="inlineStr">
        <is>
          <t>ISS-010</t>
        </is>
      </c>
      <c r="E8" s="57" t="inlineStr">
        <is>
          <t>Innenumsatz / Doppelzählung</t>
        </is>
      </c>
      <c r="F8" s="57" t="inlineStr">
        <is>
          <t>Andreas</t>
        </is>
      </c>
      <c r="G8" s="57" t="inlineStr">
        <is>
          <t>Mittel</t>
        </is>
      </c>
      <c r="H8" s="60" t="inlineStr">
        <is>
          <t>Offen</t>
        </is>
      </c>
      <c r="I8" s="57" t="inlineStr"/>
      <c r="J8" s="57" t="inlineStr">
        <is>
          <t>Termin mit Andreas, Punkt 3 von 3</t>
        </is>
      </c>
      <c r="K8" s="57" t="inlineStr"/>
      <c r="L8" s="57" t="inlineStr">
        <is>
          <t>PM-05</t>
        </is>
      </c>
      <c r="M8" s="122" t="inlineStr">
        <is>
          <t>Projekt</t>
        </is>
      </c>
    </row>
    <row r="9">
      <c r="A9" s="57" t="inlineStr">
        <is>
          <t>8</t>
        </is>
      </c>
      <c r="B9" s="57" t="inlineStr">
        <is>
          <t>Hoch, haengt an anderen</t>
        </is>
      </c>
      <c r="C9" s="57" t="inlineStr">
        <is>
          <t>Finance CH/AT</t>
        </is>
      </c>
      <c r="D9" s="57" t="inlineStr">
        <is>
          <t>ISS-003.5</t>
        </is>
      </c>
      <c r="E9" s="57" t="inlineStr">
        <is>
          <t>Supplier-Fallback je Land</t>
        </is>
      </c>
      <c r="F9" s="57" t="inlineStr">
        <is>
          <t>Andreas</t>
        </is>
      </c>
      <c r="G9" s="57" t="inlineStr">
        <is>
          <t>Niedrig</t>
        </is>
      </c>
      <c r="H9" s="58" t="inlineStr">
        <is>
          <t>Erledigt</t>
        </is>
      </c>
      <c r="I9" s="57" t="inlineStr"/>
      <c r="J9" s="57" t="inlineStr">
        <is>
          <t>Entschieden am 27.08.2026: steht kein Lieferant, gelten die lokalen Standardkosten der verkaufenden Gesellschaft; keine Aufteilung je Land</t>
        </is>
      </c>
      <c r="K9" s="57" t="inlineStr"/>
      <c r="L9" s="57" t="inlineStr">
        <is>
          <t>PM-05</t>
        </is>
      </c>
      <c r="M9" s="122" t="inlineStr">
        <is>
          <t>Projekt</t>
        </is>
      </c>
    </row>
    <row r="10">
      <c r="A10" s="57" t="inlineStr">
        <is>
          <t>9</t>
        </is>
      </c>
      <c r="B10" s="57" t="inlineStr">
        <is>
          <t>Heute</t>
        </is>
      </c>
      <c r="C10" s="57" t="inlineStr">
        <is>
          <t>SAP ZLO03</t>
        </is>
      </c>
      <c r="D10" s="57" t="inlineStr">
        <is>
          <t>PM-01</t>
        </is>
      </c>
      <c r="E10" s="57" t="inlineStr">
        <is>
          <t>ZLO03 Mengen und Materialien</t>
        </is>
      </c>
      <c r="F10" s="57" t="inlineStr">
        <is>
          <t>Ingo</t>
        </is>
      </c>
      <c r="G10" s="57" t="inlineStr">
        <is>
          <t>Hoch</t>
        </is>
      </c>
      <c r="H10" s="60" t="inlineStr">
        <is>
          <t>Offen</t>
        </is>
      </c>
      <c r="I10" s="57" t="inlineStr"/>
      <c r="J10" s="57" t="inlineStr">
        <is>
          <t>Diagnoselauf p_diag und Regressionstest, danach Transport nach B76</t>
        </is>
      </c>
      <c r="K10" s="57" t="inlineStr"/>
      <c r="L10" s="57" t="inlineStr">
        <is>
          <t>PM-01</t>
        </is>
      </c>
      <c r="M10" s="124" t="inlineStr">
        <is>
          <t>Vorhaben</t>
        </is>
      </c>
    </row>
    <row r="11">
      <c r="A11" s="57" t="inlineStr">
        <is>
          <t>10</t>
        </is>
      </c>
      <c r="B11" s="57" t="inlineStr">
        <is>
          <t>Heute</t>
        </is>
      </c>
      <c r="C11" s="57" t="inlineStr">
        <is>
          <t>SAP ZLO03</t>
        </is>
      </c>
      <c r="D11" s="57" t="inlineStr">
        <is>
          <t>PM-01</t>
        </is>
      </c>
      <c r="E11" s="57" t="inlineStr">
        <is>
          <t>ZLO03 Kommunikationspflicht</t>
        </is>
      </c>
      <c r="F11" s="57" t="inlineStr">
        <is>
          <t>Ingo</t>
        </is>
      </c>
      <c r="G11" s="57" t="inlineStr">
        <is>
          <t>Hoch</t>
        </is>
      </c>
      <c r="H11" s="60" t="inlineStr">
        <is>
          <t>Offen</t>
        </is>
      </c>
      <c r="I11" s="57" t="inlineStr"/>
      <c r="J11" s="57" t="inlineStr">
        <is>
          <t>Ann-Katrin Michel vorwarnen: Spalte Exklusiv liefert künftig auch "?"</t>
        </is>
      </c>
      <c r="K11" s="57" t="inlineStr"/>
      <c r="L11" s="57" t="inlineStr">
        <is>
          <t>PM-01</t>
        </is>
      </c>
      <c r="M11" s="124" t="inlineStr">
        <is>
          <t>Vorhaben</t>
        </is>
      </c>
    </row>
    <row r="12">
      <c r="A12" s="57" t="inlineStr">
        <is>
          <t>11</t>
        </is>
      </c>
      <c r="B12" s="57" t="inlineStr">
        <is>
          <t>Heute</t>
        </is>
      </c>
      <c r="C12" s="57" t="inlineStr">
        <is>
          <t>SAP ZZPRDAT</t>
        </is>
      </c>
      <c r="D12" s="57" t="inlineStr">
        <is>
          <t>PM-03</t>
        </is>
      </c>
      <c r="E12" s="57" t="inlineStr">
        <is>
          <t>ZZPRDAT Umsetzung</t>
        </is>
      </c>
      <c r="F12" s="57" t="inlineStr">
        <is>
          <t>Ingo</t>
        </is>
      </c>
      <c r="G12" s="57" t="inlineStr">
        <is>
          <t>Hoch</t>
        </is>
      </c>
      <c r="H12" s="58" t="inlineStr">
        <is>
          <t>Erledigt</t>
        </is>
      </c>
      <c r="I12" s="57" t="inlineStr"/>
      <c r="J12" s="57" t="inlineStr">
        <is>
          <t>Loesung in T76 gebaut, im Paket ZPP1 und im Transportauftrag T76K912490. Am 07.09.2026 kam eine Korrektur dazu: BEFORE_UPDATE lief bei jedem Sichern und hätte Altaufträge ungewollt nachgefüllt; jetzt wird AFKO-FTRMI vorher geprüft. Danach alle sieben Wege plus Altauftragsfall und Write-once erneut gemessen, Aufträge 1241824 bis 1241830, Werte direkt aus AUFK.</t>
        </is>
      </c>
      <c r="K12" s="57" t="inlineStr">
        <is>
          <t>07.09.2026</t>
        </is>
      </c>
      <c r="L12" s="57" t="inlineStr">
        <is>
          <t>PM-03</t>
        </is>
      </c>
      <c r="M12" s="124" t="inlineStr">
        <is>
          <t>Vorhaben</t>
        </is>
      </c>
    </row>
    <row r="13">
      <c r="A13" s="57" t="inlineStr">
        <is>
          <t>12</t>
        </is>
      </c>
      <c r="B13" s="57" t="inlineStr">
        <is>
          <t>Heute</t>
        </is>
      </c>
      <c r="C13" s="57" t="inlineStr">
        <is>
          <t>SAP ZZPRDAT</t>
        </is>
      </c>
      <c r="D13" s="57" t="inlineStr">
        <is>
          <t>PM-03</t>
        </is>
      </c>
      <c r="E13" s="57" t="inlineStr">
        <is>
          <t>ZZPRDAT Abnahme einholen</t>
        </is>
      </c>
      <c r="F13" s="57" t="inlineStr">
        <is>
          <t>Ingo</t>
        </is>
      </c>
      <c r="G13" s="57" t="inlineStr">
        <is>
          <t>Hoch</t>
        </is>
      </c>
      <c r="H13" s="59" t="inlineStr">
        <is>
          <t>Läuft</t>
        </is>
      </c>
      <c r="I13" s="57" t="inlineStr"/>
      <c r="J13" s="57" t="inlineStr">
        <is>
          <t>Anschreiben liegt als Outlook-Entwurf mit Betreff und angehängtem Lösungsdokument; vor dem Versand die Empfängeradressen eintragen und den Text aus docs/ZZPRDAT_Mail_Abnahme_2026-09-04.html hineinkopieren. Das Dokument hat seit 07.09.2026 die Kapitel 'So testen Sie es selbst' und 'Nachmessung vom 7. September'. Marco prüft Etikett und Typenschild und dabei neu auch den Zeitpunkt: der Verbuchungsbaustein läuft als V2 nach der Standardverbuchung, ein unmittelbarer Druck könnte das Feld noch leer sehen. Nicht behoben ist ausserdem, dass Z_ZZPRDAT_CHECK jeden abweichenden Wert als 'Write-once nachgewiesen' meldet.</t>
        </is>
      </c>
      <c r="K13" s="57" t="inlineStr"/>
      <c r="L13" s="57" t="inlineStr">
        <is>
          <t>PM-03</t>
        </is>
      </c>
      <c r="M13" s="124" t="inlineStr">
        <is>
          <t>Vorhaben</t>
        </is>
      </c>
    </row>
    <row r="14">
      <c r="A14" s="57" t="inlineStr">
        <is>
          <t>13</t>
        </is>
      </c>
      <c r="B14" s="57" t="inlineStr">
        <is>
          <t>Umsetzung</t>
        </is>
      </c>
      <c r="C14" s="57" t="inlineStr">
        <is>
          <t>Finance DE/ES</t>
        </is>
      </c>
      <c r="D14" s="57" t="inlineStr">
        <is>
          <t>ISS-003.3</t>
        </is>
      </c>
      <c r="E14" s="57" t="inlineStr">
        <is>
          <t>DE/ES ohne Lieferantenfelder</t>
        </is>
      </c>
      <c r="F14" s="57" t="inlineStr">
        <is>
          <t>Ingo</t>
        </is>
      </c>
      <c r="G14" s="57" t="inlineStr">
        <is>
          <t>Mittel</t>
        </is>
      </c>
      <c r="H14" s="60" t="inlineStr">
        <is>
          <t>Offen</t>
        </is>
      </c>
      <c r="I14" s="57" t="inlineStr"/>
      <c r="J14" s="57" t="inlineStr">
        <is>
          <t>Zuerst eigene Export-SQL prüfen, erst danach den Standort fragen. Präzedenzfall UK, belegt am 02.09.2026: die Lieferantenspalten waren in der UK-Datei seit jeher gefüllt (1881/1881) und nur nie gemappt</t>
        </is>
      </c>
      <c r="K14" s="57" t="inlineStr"/>
      <c r="L14" s="57" t="inlineStr">
        <is>
          <t>PM-05</t>
        </is>
      </c>
      <c r="M14" s="122" t="inlineStr">
        <is>
          <t>Projekt</t>
        </is>
      </c>
    </row>
    <row r="15">
      <c r="A15" s="57" t="inlineStr">
        <is>
          <t>14</t>
        </is>
      </c>
      <c r="B15" s="57" t="inlineStr">
        <is>
          <t>Nur terminieren</t>
        </is>
      </c>
      <c r="C15" s="57" t="inlineStr">
        <is>
          <t>Finance Export</t>
        </is>
      </c>
      <c r="D15" s="57" t="inlineStr">
        <is>
          <t>ISS-013</t>
        </is>
      </c>
      <c r="E15" s="57" t="inlineStr">
        <is>
          <t>Sales Type und Sachnummer im Export</t>
        </is>
      </c>
      <c r="F15" s="57" t="inlineStr">
        <is>
          <t>App</t>
        </is>
      </c>
      <c r="G15" s="57" t="inlineStr">
        <is>
          <t>Mittel</t>
        </is>
      </c>
      <c r="H15" s="58" t="inlineStr">
        <is>
          <t>Erledigt</t>
        </is>
      </c>
      <c r="I15" s="57" t="inlineStr"/>
      <c r="J15" s="57" t="inlineStr">
        <is>
          <t>Produktiv seit 27.08.2026 15:28. Beim nächsten Export die Indien-Quote im Excel gegen die App gegenprüfen</t>
        </is>
      </c>
      <c r="K15" s="57" t="inlineStr"/>
      <c r="L15" s="57" t="inlineStr">
        <is>
          <t>PM-05</t>
        </is>
      </c>
      <c r="M15" s="122" t="inlineStr">
        <is>
          <t>Projekt</t>
        </is>
      </c>
    </row>
    <row r="16">
      <c r="A16" s="57" t="inlineStr">
        <is>
          <t>15</t>
        </is>
      </c>
      <c r="B16" s="57" t="inlineStr">
        <is>
          <t>Umsetzung</t>
        </is>
      </c>
      <c r="C16" s="57" t="inlineStr">
        <is>
          <t>Finance CH/AT</t>
        </is>
      </c>
      <c r="D16" s="57" t="inlineStr">
        <is>
          <t>ISS-006</t>
        </is>
      </c>
      <c r="E16" s="57" t="inlineStr">
        <is>
          <t>CH/AT Journal, Transport T76K912530 nach P76</t>
        </is>
      </c>
      <c r="F16" s="57" t="inlineStr">
        <is>
          <t>SAP / Ingo</t>
        </is>
      </c>
      <c r="G16" s="57" t="inlineStr">
        <is>
          <t>Mittel</t>
        </is>
      </c>
      <c r="H16" s="57" t="inlineStr">
        <is>
          <t>Auf T76 erledigt, Transport offen</t>
        </is>
      </c>
      <c r="I16" s="57" t="inlineStr"/>
      <c r="J16" s="57" t="inlineStr">
        <is>
          <t>FinanzJournalSet auf T76/100 am 11.09.2026 gebaut, aktiviert und geprueft ($metadata und Datenabruf HTTP 200, Werte gegengelesen, bestehende Sets unveraendert). Produktiv erst nach Freigabe und Import des Transports nach P76 wirksam.</t>
        </is>
      </c>
      <c r="K16" s="57" t="inlineStr"/>
      <c r="L16" s="57" t="inlineStr">
        <is>
          <t>PM-05</t>
        </is>
      </c>
      <c r="M16" s="122" t="inlineStr">
        <is>
          <t>Projekt</t>
        </is>
      </c>
    </row>
    <row r="17">
      <c r="A17" s="57" t="inlineStr">
        <is>
          <t>16</t>
        </is>
      </c>
      <c r="B17" s="57" t="inlineStr">
        <is>
          <t>Umsetzung</t>
        </is>
      </c>
      <c r="C17" s="57" t="inlineStr">
        <is>
          <t>Einkauf</t>
        </is>
      </c>
      <c r="D17" s="57" t="inlineStr">
        <is>
          <t>PM-04</t>
        </is>
      </c>
      <c r="E17" s="57" t="inlineStr">
        <is>
          <t>Einkauf Restpunkte SAP</t>
        </is>
      </c>
      <c r="F17" s="57" t="inlineStr">
        <is>
          <t>Ingo</t>
        </is>
      </c>
      <c r="G17" s="57" t="inlineStr">
        <is>
          <t>Mittel</t>
        </is>
      </c>
      <c r="H17" s="60" t="inlineStr">
        <is>
          <t>Offen</t>
        </is>
      </c>
      <c r="I17" s="57" t="inlineStr"/>
      <c r="J17" s="57" t="inlineStr">
        <is>
          <t>D1/D5-Texte pflegen, SEGW-Key auf DISPO_KZ + DISPO korrigieren. Am 11.09.2026 gegen docs/rag/PURCHASING.md geprueft: beide Punkte stehen unveraendert offen, ohne Betriebsauswirkung. Das Dashboard selbst ist seit 03.09.2026 durch den Filter-Snapshot beschleunigt (Commits 756e931, 2444731).</t>
        </is>
      </c>
      <c r="K17" s="57" t="inlineStr"/>
      <c r="L17" s="57" t="inlineStr">
        <is>
          <t>PM-04</t>
        </is>
      </c>
      <c r="M17" s="122" t="inlineStr">
        <is>
          <t>Projekt</t>
        </is>
      </c>
    </row>
    <row r="18">
      <c r="A18" s="57" t="inlineStr">
        <is>
          <t>17</t>
        </is>
      </c>
      <c r="B18" s="57" t="inlineStr">
        <is>
          <t>Umsetzung</t>
        </is>
      </c>
      <c r="C18" s="57" t="inlineStr">
        <is>
          <t>Marktsegmente</t>
        </is>
      </c>
      <c r="D18" s="57" t="inlineStr">
        <is>
          <t>-</t>
        </is>
      </c>
      <c r="E18" s="57" t="inlineStr">
        <is>
          <t>Sichtprüfläufe produktiv nachholen</t>
        </is>
      </c>
      <c r="F18" s="57" t="inlineStr">
        <is>
          <t>Ingo</t>
        </is>
      </c>
      <c r="G18" s="57" t="inlineStr">
        <is>
          <t>Mittel</t>
        </is>
      </c>
      <c r="H18" s="60" t="inlineStr">
        <is>
          <t>Offen</t>
        </is>
      </c>
      <c r="I18" s="57" t="inlineStr"/>
      <c r="J18" s="57" t="inlineStr">
        <is>
          <t>3 Deploys angemeldet sichtprüfen: Segmente, Umfrage, Jahresfilter</t>
        </is>
      </c>
      <c r="K18" s="57" t="inlineStr"/>
      <c r="L18" s="57" t="inlineStr">
        <is>
          <t>PM-08</t>
        </is>
      </c>
      <c r="M18" s="124" t="inlineStr">
        <is>
          <t>Vorhaben</t>
        </is>
      </c>
    </row>
    <row r="19">
      <c r="A19" s="57" t="inlineStr">
        <is>
          <t>18</t>
        </is>
      </c>
      <c r="B19" s="57" t="inlineStr">
        <is>
          <t>Umsetzung</t>
        </is>
      </c>
      <c r="C19" s="57" t="inlineStr">
        <is>
          <t>Finance Export</t>
        </is>
      </c>
      <c r="D19" s="57" t="inlineStr">
        <is>
          <t>ISS-012</t>
        </is>
      </c>
      <c r="E19" s="57" t="inlineStr">
        <is>
          <t>Phantom-Legendenzeile im Export</t>
        </is>
      </c>
      <c r="F19" s="57" t="inlineStr">
        <is>
          <t>App</t>
        </is>
      </c>
      <c r="G19" s="57" t="inlineStr">
        <is>
          <t>Niedrig</t>
        </is>
      </c>
      <c r="H19" s="58" t="inlineStr">
        <is>
          <t>Erledigt</t>
        </is>
      </c>
      <c r="I19" s="57" t="inlineStr"/>
      <c r="J19" s="57" t="inlineStr">
        <is>
          <t>Produktiv deployed am 27.08.2026: Phantom-Legendenzeile wird im Konsolidierungsschritt ausgefiltert.</t>
        </is>
      </c>
      <c r="K19" s="57" t="inlineStr">
        <is>
          <t>27.08.2026</t>
        </is>
      </c>
      <c r="L19" s="57" t="inlineStr">
        <is>
          <t>PM-05</t>
        </is>
      </c>
      <c r="M19" s="122" t="inlineStr">
        <is>
          <t>Projekt</t>
        </is>
      </c>
    </row>
    <row r="20">
      <c r="A20" s="57" t="inlineStr">
        <is>
          <t>19</t>
        </is>
      </c>
      <c r="B20" s="57" t="inlineStr">
        <is>
          <t>Nur terminieren</t>
        </is>
      </c>
      <c r="C20" s="57" t="inlineStr">
        <is>
          <t>Finance IT</t>
        </is>
      </c>
      <c r="D20" s="57" t="inlineStr">
        <is>
          <t>ISS-007.1</t>
        </is>
      </c>
      <c r="E20" s="57" t="inlineStr">
        <is>
          <t>TR IT Moving Average: zurückgestellt bis 2027</t>
        </is>
      </c>
      <c r="F20" s="57" t="inlineStr">
        <is>
          <t>Andreas / Ingo</t>
        </is>
      </c>
      <c r="G20" s="57" t="inlineStr">
        <is>
          <t>Mittel</t>
        </is>
      </c>
      <c r="H20" s="57" t="inlineStr">
        <is>
          <t>Entschieden, zurückgestellt</t>
        </is>
      </c>
      <c r="I20" s="57" t="inlineStr"/>
      <c r="J20" s="57" t="inlineStr">
        <is>
          <t>Andreas hat am 09.09.2026 entschieden: keine Priorität, erneute Betrachtung 2027. Rückmeldung an Paola am 29.09.2026 versendet. Keine weitere Aktion.</t>
        </is>
      </c>
      <c r="K20" s="57" t="inlineStr"/>
      <c r="L20" s="57" t="inlineStr">
        <is>
          <t>PM-05</t>
        </is>
      </c>
      <c r="M20" s="122" t="inlineStr">
        <is>
          <t>Projekt</t>
        </is>
      </c>
    </row>
    <row r="21">
      <c r="A21" s="57" t="inlineStr">
        <is>
          <t>20</t>
        </is>
      </c>
      <c r="B21" s="57" t="inlineStr">
        <is>
          <t>Nur terminieren</t>
        </is>
      </c>
      <c r="C21" s="57" t="inlineStr">
        <is>
          <t>SAP PPWR</t>
        </is>
      </c>
      <c r="D21" s="57" t="inlineStr">
        <is>
          <t>PM-06</t>
        </is>
      </c>
      <c r="E21" s="57" t="inlineStr">
        <is>
          <t>PPWR Pilotmaterialien</t>
        </is>
      </c>
      <c r="F21" s="57" t="inlineStr">
        <is>
          <t>Adil</t>
        </is>
      </c>
      <c r="G21" s="57" t="inlineStr">
        <is>
          <t>Mittel</t>
        </is>
      </c>
      <c r="H21" s="58" t="inlineStr">
        <is>
          <t>Erledigt</t>
        </is>
      </c>
      <c r="I21" s="57" t="inlineStr"/>
      <c r="J21" s="57" t="inlineStr">
        <is>
          <t>Komplett erledigt 2026-08-20 laut Ingo: Pilotmaterialien zugeordnet, CL30N-Abnahme gefahren</t>
        </is>
      </c>
      <c r="K21" s="57" t="inlineStr"/>
      <c r="L21" s="57" t="inlineStr">
        <is>
          <t>PM-06</t>
        </is>
      </c>
      <c r="M21" s="124" t="inlineStr">
        <is>
          <t>Vorhaben</t>
        </is>
      </c>
    </row>
    <row r="22">
      <c r="A22" s="57" t="inlineStr">
        <is>
          <t>21</t>
        </is>
      </c>
      <c r="B22" s="57" t="inlineStr">
        <is>
          <t>Nur terminieren</t>
        </is>
      </c>
      <c r="C22" s="57" t="inlineStr">
        <is>
          <t>Finance Reporting</t>
        </is>
      </c>
      <c r="D22" s="57" t="inlineStr">
        <is>
          <t>ISS-008</t>
        </is>
      </c>
      <c r="E22" s="57" t="inlineStr">
        <is>
          <t>Budget-CHF als Reportinggrösse</t>
        </is>
      </c>
      <c r="F22" s="57" t="inlineStr">
        <is>
          <t>Finance / Andreas</t>
        </is>
      </c>
      <c r="G22" s="57" t="inlineStr">
        <is>
          <t>Niedrig</t>
        </is>
      </c>
      <c r="H22" s="60" t="inlineStr">
        <is>
          <t>Offen</t>
        </is>
      </c>
      <c r="I22" s="57" t="inlineStr"/>
      <c r="J22" s="57" t="inlineStr">
        <is>
          <t>6 offene Entscheide bei Finance, nur beobachten</t>
        </is>
      </c>
      <c r="K22" s="57" t="inlineStr"/>
      <c r="L22" s="57" t="inlineStr">
        <is>
          <t>PM-05</t>
        </is>
      </c>
      <c r="M22" s="122" t="inlineStr">
        <is>
          <t>Projekt</t>
        </is>
      </c>
    </row>
    <row r="23">
      <c r="A23" s="57" t="inlineStr">
        <is>
          <t>22</t>
        </is>
      </c>
      <c r="B23" s="57" t="inlineStr">
        <is>
          <t>Nur terminieren</t>
        </is>
      </c>
      <c r="C23" s="57" t="inlineStr">
        <is>
          <t>HR</t>
        </is>
      </c>
      <c r="D23" s="57" t="inlineStr">
        <is>
          <t>PM-07</t>
        </is>
      </c>
      <c r="E23" s="57" t="inlineStr">
        <is>
          <t>REXX automatische Auswertung</t>
        </is>
      </c>
      <c r="F23" s="57" t="inlineStr">
        <is>
          <t>Ingo</t>
        </is>
      </c>
      <c r="G23" s="57" t="inlineStr">
        <is>
          <t>Mittel</t>
        </is>
      </c>
      <c r="H23" s="57" t="inlineStr">
        <is>
          <t>Wartet auf externe Firma</t>
        </is>
      </c>
      <c r="I23" s="57" t="inlineStr"/>
      <c r="J23" s="57" t="inlineStr">
        <is>
          <t>Exporter-Fertigstellung abwarten, danach Anbindung/Auswertung planen</t>
        </is>
      </c>
      <c r="K23" s="57" t="inlineStr"/>
      <c r="L23" s="57" t="inlineStr">
        <is>
          <t>PM-07</t>
        </is>
      </c>
      <c r="M23" s="124" t="inlineStr">
        <is>
          <t>Vorhaben</t>
        </is>
      </c>
    </row>
    <row r="24">
      <c r="A24" s="57" t="inlineStr">
        <is>
          <t>23</t>
        </is>
      </c>
      <c r="B24" s="57" t="inlineStr">
        <is>
          <t>Heute</t>
        </is>
      </c>
      <c r="C24" s="57" t="inlineStr">
        <is>
          <t>Einkauf</t>
        </is>
      </c>
      <c r="D24" s="57" t="inlineStr">
        <is>
          <t>-</t>
        </is>
      </c>
      <c r="E24" s="57" t="inlineStr">
        <is>
          <t>Lagerwert Einkaufsteile</t>
        </is>
      </c>
      <c r="F24" s="57" t="inlineStr">
        <is>
          <t>Ingo</t>
        </is>
      </c>
      <c r="G24" s="57" t="inlineStr">
        <is>
          <t>Mittel</t>
        </is>
      </c>
      <c r="H24" s="57" t="inlineStr">
        <is>
          <t>Teil umgesetzt, Nachweis offen</t>
        </is>
      </c>
      <c r="I24" s="57" t="inlineStr"/>
      <c r="J24" s="57" t="inlineStr">
        <is>
          <t>Verlauf je Woche produktiv seit 28.09.2026 (Wunsch Einkauf, von Marco bestätigt). Einkauf-Lauf fiel 10.-28.09. aus (IIS-Leerlauf), per Code abgesichert, IT-Einstellung als ISS-017 offen. Danach Armins Entscheid zu Disponent 004, MB5L-Abgleich und serverseitigen Einkauf-Lauf als Kettennachweis ausführen</t>
        </is>
      </c>
      <c r="K24" s="57" t="inlineStr"/>
      <c r="L24" s="57" t="inlineStr">
        <is>
          <t>PM-04</t>
        </is>
      </c>
      <c r="M24" s="122" t="inlineStr">
        <is>
          <t>Projekt</t>
        </is>
      </c>
    </row>
    <row r="25">
      <c r="A25" s="57" t="inlineStr">
        <is>
          <t>24</t>
        </is>
      </c>
      <c r="B25" s="57" t="inlineStr">
        <is>
          <t>Heute</t>
        </is>
      </c>
      <c r="C25" s="57" t="inlineStr">
        <is>
          <t>Railway</t>
        </is>
      </c>
      <c r="D25" s="57" t="inlineStr">
        <is>
          <t>PM-08</t>
        </is>
      </c>
      <c r="E25" s="57" t="inlineStr">
        <is>
          <t>DE-Verkaufsbestand mit fachlichen Kundenfeldern</t>
        </is>
      </c>
      <c r="F25" s="57" t="inlineStr">
        <is>
          <t>Ingo / DE</t>
        </is>
      </c>
      <c r="G25" s="57" t="inlineStr">
        <is>
          <t>Hoch</t>
        </is>
      </c>
      <c r="H25" s="59" t="inlineStr">
        <is>
          <t>Läuft</t>
        </is>
      </c>
      <c r="I25" s="57" t="inlineStr">
        <is>
          <t>08.09.2026</t>
        </is>
      </c>
      <c r="J25" s="57" t="inlineStr">
        <is>
          <t>Ueberholt den Stand vom 09.09. 07:20. Rohail Munirs Rechnungen_20260909.xlsx loeste den Schluessel: 60'539 Rechnungen mit fachlicher Adressnr._R, die interne RechnungsAdressenID wird nicht mehr gebraucht. Produktiver Nachzug am 09.09.2026 um 14:37, 3'043 Zeilen in einer Transaktion, fachliche Nummern von 4'549 auf 7'592 von 7'622, Segmente von 19 auf 24, quick_check ok, SalesPriceValue unveraendert. Deutscher Bahnumsatz erstmals belegbar: 2025 rund 578'636 EUR, 2026 bis 09.09. rund 432'237 EUR. OFFEN: 30 Gutschriftenzeilen ohne fachliche Nummer, weil Rohails Datei keine Gutschriften enthaelt, und die 40 Zeilen der drei Doppelnummern Sonepar, EMS und Magnetic Sense. Der Termin 08.09.2026 ist ueberschritten, neues Zieldatum offen.</t>
        </is>
      </c>
      <c r="K25" s="57" t="inlineStr"/>
      <c r="L25" s="57" t="inlineStr">
        <is>
          <t>PM-08</t>
        </is>
      </c>
      <c r="M25" s="124" t="inlineStr">
        <is>
          <t>Vorhaben</t>
        </is>
      </c>
    </row>
    <row r="26">
      <c r="A26" s="57" t="inlineStr">
        <is>
          <t>25</t>
        </is>
      </c>
      <c r="B26" s="57" t="inlineStr">
        <is>
          <t>Heute</t>
        </is>
      </c>
      <c r="C26" s="57" t="inlineStr">
        <is>
          <t>Railway</t>
        </is>
      </c>
      <c r="D26" s="57" t="inlineStr">
        <is>
          <t>PM-08</t>
        </is>
      </c>
      <c r="E26" s="57" t="inlineStr">
        <is>
          <t>Railway Zuordnung übrige Standorte prüfen lassen</t>
        </is>
      </c>
      <c r="F26" s="57" t="inlineStr">
        <is>
          <t>Patrik</t>
        </is>
      </c>
      <c r="G26" s="57" t="inlineStr">
        <is>
          <t>Hoch</t>
        </is>
      </c>
      <c r="H26" s="60" t="inlineStr">
        <is>
          <t>Offen</t>
        </is>
      </c>
      <c r="I26" s="57" t="inlineStr">
        <is>
          <t>08.09.2026</t>
        </is>
      </c>
      <c r="J26" s="57" t="inlineStr">
        <is>
          <t>171 offene Vorschlaege der anderen Standorte bleiben fachlich zu pruefen. Rohails DE-Stamm bestaetigt keine auslaendischen Kundenschluessel. DE nur direkte Belegzuordnung und reine Bahnbranche automatisch bestaetigen. Am 10.09.2026 produktiv nachgemessen und unveraendert: von 196 Zuordnungen sind 25 bestaetigt, davon 24 aus TRDE; die 171 uebrigen bleiben Namensabgleich-Vorschlaege.</t>
        </is>
      </c>
      <c r="K26" s="57" t="inlineStr"/>
      <c r="L26" s="57" t="inlineStr">
        <is>
          <t>PM-08</t>
        </is>
      </c>
      <c r="M26" s="124" t="inlineStr">
        <is>
          <t>Vorhaben</t>
        </is>
      </c>
    </row>
    <row r="27">
      <c r="A27" s="57" t="inlineStr">
        <is>
          <t>26</t>
        </is>
      </c>
      <c r="B27" s="57" t="inlineStr">
        <is>
          <t>Nur terminieren</t>
        </is>
      </c>
      <c r="C27" s="57" t="inlineStr">
        <is>
          <t>Railway</t>
        </is>
      </c>
      <c r="D27" s="57" t="inlineStr">
        <is>
          <t>PM-08</t>
        </is>
      </c>
      <c r="E27" s="57" t="inlineStr">
        <is>
          <t>Railway Export für Rohail Munir</t>
        </is>
      </c>
      <c r="F27" s="57" t="inlineStr">
        <is>
          <t>Ingo</t>
        </is>
      </c>
      <c r="G27" s="57" t="inlineStr">
        <is>
          <t>Hoch</t>
        </is>
      </c>
      <c r="H27" s="59" t="inlineStr">
        <is>
          <t>Läuft</t>
        </is>
      </c>
      <c r="I27" s="57" t="inlineStr">
        <is>
          <t>08.09.2026</t>
        </is>
      </c>
      <c r="J27" s="57" t="inlineStr">
        <is>
          <t>09.09.: korrigierte DE-Pruefmappe mit Belegnachweisen, historischen Vorschlaegen und Restliste; Bahnmarkt_Rohail_2026-09-09.xlsx aus konsistentem Produktivsnapshot erzeugt und rueckgelesen (19 DE-Kunden bestaetigt). Kein Versand erfolgt.</t>
        </is>
      </c>
      <c r="K27" s="57" t="inlineStr"/>
      <c r="L27" s="57" t="inlineStr">
        <is>
          <t>PM-08</t>
        </is>
      </c>
      <c r="M27" s="124" t="inlineStr">
        <is>
          <t>Vorhaben</t>
        </is>
      </c>
    </row>
    <row r="28">
      <c r="A28" s="57" t="inlineStr">
        <is>
          <t>27</t>
        </is>
      </c>
      <c r="B28" s="57" t="inlineStr">
        <is>
          <t>Heute</t>
        </is>
      </c>
      <c r="C28" s="57" t="inlineStr">
        <is>
          <t>Finance Standardkosten</t>
        </is>
      </c>
      <c r="D28" s="57" t="inlineStr">
        <is>
          <t>-</t>
        </is>
      </c>
      <c r="E28" s="57" t="inlineStr">
        <is>
          <t>Rückfrage an Andreas zur Sitzung vom 27.08.2026</t>
        </is>
      </c>
      <c r="F28" s="57" t="inlineStr">
        <is>
          <t>Ingo</t>
        </is>
      </c>
      <c r="G28" s="57" t="inlineStr">
        <is>
          <t>Hoch</t>
        </is>
      </c>
      <c r="H28" s="58" t="inlineStr">
        <is>
          <t>Erledigt</t>
        </is>
      </c>
      <c r="I28" s="57" t="inlineStr"/>
      <c r="J28" s="57" t="inlineStr">
        <is>
          <t>Technische Vergleichslogik abgeschlossen: Andreas kann beide Kostenquellen direkt in Settings wählen; fachliche Auswahl erfolgt im Vergleich.</t>
        </is>
      </c>
      <c r="K28" s="57" t="inlineStr">
        <is>
          <t>27.08.2026</t>
        </is>
      </c>
      <c r="L28" s="57" t="inlineStr">
        <is>
          <t>PM-05</t>
        </is>
      </c>
      <c r="M28" s="122" t="inlineStr">
        <is>
          <t>Projekt</t>
        </is>
      </c>
    </row>
    <row r="29">
      <c r="A29" s="57" t="inlineStr">
        <is>
          <t>28</t>
        </is>
      </c>
      <c r="B29" s="57" t="inlineStr">
        <is>
          <t>Umsetzung</t>
        </is>
      </c>
      <c r="C29" s="57" t="inlineStr">
        <is>
          <t>Finance Standardkosten</t>
        </is>
      </c>
      <c r="D29" s="57" t="inlineStr">
        <is>
          <t>-</t>
        </is>
      </c>
      <c r="E29" s="57" t="inlineStr">
        <is>
          <t>Arbeitsmappe Standortkosten auf den Sitzungsstand bringen</t>
        </is>
      </c>
      <c r="F29" s="57" t="inlineStr">
        <is>
          <t>Ingo</t>
        </is>
      </c>
      <c r="G29" s="57" t="inlineStr">
        <is>
          <t>Mittel</t>
        </is>
      </c>
      <c r="H29" s="60" t="inlineStr">
        <is>
          <t>Offen</t>
        </is>
      </c>
      <c r="I29" s="57" t="inlineStr"/>
      <c r="J29" s="57" t="inlineStr">
        <is>
          <t>Sales Type in den oberen Block ziehen, Zweig ohne Lieferant und Währungszeile ergänzen, danach Sales_All neu generieren. Als Abgleich dient docs/FINANCE_LIEFERANT_STANDARDKOSTEN_WORKFLOW_2026-09-02.svg</t>
        </is>
      </c>
      <c r="K29" s="57" t="inlineStr"/>
      <c r="L29" s="57" t="inlineStr">
        <is>
          <t>PM-05</t>
        </is>
      </c>
      <c r="M29" s="122" t="inlineStr">
        <is>
          <t>Projekt</t>
        </is>
      </c>
    </row>
    <row r="30">
      <c r="A30" s="57" t="inlineStr">
        <is>
          <t>29</t>
        </is>
      </c>
      <c r="B30" s="57" t="inlineStr">
        <is>
          <t>Heute</t>
        </is>
      </c>
      <c r="C30" s="57" t="inlineStr">
        <is>
          <t>Finance Gruppenmarge</t>
        </is>
      </c>
      <c r="D30" s="57" t="inlineStr">
        <is>
          <t>-</t>
        </is>
      </c>
      <c r="E30" s="57" t="inlineStr">
        <is>
          <t>Schutz gegen Marge auf Verrechnungspreis greift nur bei Sales Type LRD</t>
        </is>
      </c>
      <c r="F30" s="57" t="inlineStr">
        <is>
          <t>Andreas / Ingo</t>
        </is>
      </c>
      <c r="G30" s="57" t="inlineStr">
        <is>
          <t>Hoch</t>
        </is>
      </c>
      <c r="H30" s="60" t="inlineStr">
        <is>
          <t>Offen</t>
        </is>
      </c>
      <c r="I30" s="57" t="inlineStr"/>
      <c r="J30" s="57" t="inlineStr">
        <is>
          <t>Am 02.09.2026 im Code gefunden: GroupDistributionWithoutGroupCost prüft nur den Sales Type LRD, nicht ob eine liefernde Konzerngesellschaft erkannt wurde. Zeilen mit Lieferant Trafag AG oder Trafag Italia ohne Konzernkostentreffer zeigen still eine Marge auf dem lokalen IC-Preis. Obergrenze 19'221 Zeilen (18,3 %). Zuerst die echte Menge gegen GroupStandardCosts in der Produktiv-DB messen, dann Andreas entscheiden lassen</t>
        </is>
      </c>
      <c r="K30" s="57" t="inlineStr"/>
      <c r="L30" s="57" t="inlineStr">
        <is>
          <t>PM-05</t>
        </is>
      </c>
      <c r="M30" s="122" t="inlineStr">
        <is>
          <t>Projekt</t>
        </is>
      </c>
    </row>
    <row r="31">
      <c r="A31" s="57" t="inlineStr">
        <is>
          <t>30</t>
        </is>
      </c>
      <c r="B31" s="57" t="inlineStr">
        <is>
          <t>Umsetzung</t>
        </is>
      </c>
      <c r="C31" s="57" t="inlineStr">
        <is>
          <t>Finance Standardkosten</t>
        </is>
      </c>
      <c r="D31" s="57" t="inlineStr">
        <is>
          <t>-</t>
        </is>
      </c>
      <c r="E31" s="57" t="inlineStr">
        <is>
          <t>Schalter Schweizer STPRS: Beschriftung und Code stimmen nicht überein</t>
        </is>
      </c>
      <c r="F31" s="57" t="inlineStr">
        <is>
          <t>Ingo / Andreas</t>
        </is>
      </c>
      <c r="G31" s="57" t="inlineStr">
        <is>
          <t>Mittel</t>
        </is>
      </c>
      <c r="H31" s="60" t="inlineStr">
        <is>
          <t>Offen</t>
        </is>
      </c>
      <c r="I31" s="57" t="inlineStr"/>
      <c r="J31" s="57" t="inlineStr">
        <is>
          <t>ShouldUseSwissStprs prüft den SupplierType nicht und setzt die liefernde Gesellschaft bedingungslos auf TR_AG. Im Alternativmodus bekämen auch Extern-, Lokal- und Unklar-Zeilen Schweizer Kosten. Klären, ob die Bedingung im Code fehlt oder die Beschriftung zu eng ist. Produktiv unbetroffen, Default DeliveringEntityCosts</t>
        </is>
      </c>
      <c r="K31" s="57" t="inlineStr"/>
      <c r="L31" s="57" t="inlineStr">
        <is>
          <t>PM-05</t>
        </is>
      </c>
      <c r="M31" s="122" t="inlineStr">
        <is>
          <t>Projekt</t>
        </is>
      </c>
    </row>
    <row r="32">
      <c r="A32" s="57" t="inlineStr">
        <is>
          <t>31</t>
        </is>
      </c>
      <c r="B32" s="57" t="inlineStr">
        <is>
          <t>Nur terminieren</t>
        </is>
      </c>
      <c r="C32" s="57" t="inlineStr">
        <is>
          <t>Finance IN</t>
        </is>
      </c>
      <c r="D32" s="57" t="inlineStr">
        <is>
          <t>-</t>
        </is>
      </c>
      <c r="E32" s="57" t="inlineStr">
        <is>
          <t>41 Zeilen mit Sales Type FFM und Fremdlieferant Cenlub Systems</t>
        </is>
      </c>
      <c r="F32" s="57" t="inlineStr">
        <is>
          <t>Ingo / Indien</t>
        </is>
      </c>
      <c r="G32" s="57" t="inlineStr">
        <is>
          <t>Niedrig</t>
        </is>
      </c>
      <c r="H32" s="60" t="inlineStr">
        <is>
          <t>Offen</t>
        </is>
      </c>
      <c r="I32" s="57" t="inlineStr"/>
      <c r="J32" s="57" t="inlineStr">
        <is>
          <t>Alle 41 Konfliktzeilen gehen auf einen einzigen Lieferanten zurück. Indien prüfen lassen, ob diese Artikel wirklich Eigenfertigung sind oder der Sales Type falsch steht</t>
        </is>
      </c>
      <c r="K32" s="57" t="inlineStr"/>
      <c r="L32" s="57" t="inlineStr">
        <is>
          <t>PM-05</t>
        </is>
      </c>
      <c r="M32" s="122" t="inlineStr">
        <is>
          <t>Projekt</t>
        </is>
      </c>
    </row>
    <row r="33">
      <c r="A33" s="57" t="inlineStr">
        <is>
          <t>32</t>
        </is>
      </c>
      <c r="B33" s="57" t="inlineStr">
        <is>
          <t>Entscheid</t>
        </is>
      </c>
      <c r="C33" s="57" t="inlineStr">
        <is>
          <t>Finance Journal</t>
        </is>
      </c>
      <c r="D33" s="57" t="inlineStr">
        <is>
          <t>ISS-006.1</t>
        </is>
      </c>
      <c r="E33" s="57" t="inlineStr">
        <is>
          <t>Ausgleichsfelder eingebaut, Bedeutung von date paid entscheiden</t>
        </is>
      </c>
      <c r="F33" s="57" t="inlineStr">
        <is>
          <t>Andreas / Ingo</t>
        </is>
      </c>
      <c r="G33" s="57" t="inlineStr">
        <is>
          <t>Mittel</t>
        </is>
      </c>
      <c r="H33" s="57" t="inlineStr">
        <is>
          <t>Umgesetzt, wartet auf Entscheid</t>
        </is>
      </c>
      <c r="I33" s="57" t="inlineStr"/>
      <c r="J33" s="57" t="inlineStr">
        <is>
          <t>Query am 09.09.2026 live gegengezaehlt, keine Zeilenvervielfachung. Die fuenf Felder sind seit dem Deploy vom 10.09.2026 um 08:53 PRODUKTIV, die Schemamigration hat das Journal von 29 auf 34 Spalten erweitert, 691/691 Tests gruen. Finance_All ist am selben Tag neu erzeugt worden, due date darin vollstaendig belegt. OFFEN ist nur noch der fachliche Entscheid von Andreas, was date paid bedeuten soll: Zahlungsbuchungsdatum, Ueberweisungsdatum, letzter Ausgleich oder erst vollstaendiger Ausgleich.</t>
        </is>
      </c>
      <c r="K33" s="57" t="inlineStr"/>
      <c r="L33" s="57" t="inlineStr">
        <is>
          <t>PM-05</t>
        </is>
      </c>
      <c r="M33" s="122" t="inlineStr">
        <is>
          <t>Projekt</t>
        </is>
      </c>
    </row>
    <row r="34">
      <c r="A34" s="57" t="inlineStr">
        <is>
          <t>33</t>
        </is>
      </c>
      <c r="B34" s="57" t="inlineStr">
        <is>
          <t>Umsetzung</t>
        </is>
      </c>
      <c r="C34" s="57" t="inlineStr">
        <is>
          <t>Einkauf</t>
        </is>
      </c>
      <c r="D34" s="57" t="inlineStr">
        <is>
          <t>PM-04</t>
        </is>
      </c>
      <c r="E34" s="57" t="inlineStr">
        <is>
          <t>Einkauf-Beschriftungen: drei Statustexte nicht ausgeliefert</t>
        </is>
      </c>
      <c r="F34" s="57" t="inlineStr">
        <is>
          <t>Codex / Ingo</t>
        </is>
      </c>
      <c r="G34" s="57" t="inlineStr">
        <is>
          <t>Mittel</t>
        </is>
      </c>
      <c r="H34" s="60" t="inlineStr">
        <is>
          <t>Offen</t>
        </is>
      </c>
      <c r="I34" s="57" t="inlineStr"/>
      <c r="J34" s="57" t="inlineStr">
        <is>
          <t>Beim Deploy vom 10.09.2026 um 09:40 wurde Commit d5bc321 ausgeliefert. Die zuletzt geaenderten drei Statusbeschriftungen waren NICHT committet und sind damit nicht produktiv: "Gebuchter Spend" statt "Bestellwert im Zeitraum" und "Einteilungen" statt "Einteilungen im Zeitraum". Der alte Text steht weiter an vier Stellen in PurchasingDashboard.razor und sechs in PurchasingUiTextCatalog.cs. Nachziehen und ausliefern. Ausserdem steht die produktive Sichtpruefung der neuen Kacheln und der Quellenhilfe noch aus.</t>
        </is>
      </c>
      <c r="K34" s="57" t="inlineStr"/>
      <c r="L34" s="57" t="inlineStr">
        <is>
          <t>PM-04</t>
        </is>
      </c>
      <c r="M34" s="122" t="inlineStr">
        <is>
          <t>Projekt</t>
        </is>
      </c>
    </row>
    <row r="35">
      <c r="A35" s="57" t="inlineStr">
        <is>
          <t>34</t>
        </is>
      </c>
      <c r="B35" s="57" t="inlineStr">
        <is>
          <t>Entscheid</t>
        </is>
      </c>
      <c r="C35" s="57" t="inlineStr">
        <is>
          <t>Marktsegmente</t>
        </is>
      </c>
      <c r="D35" s="57" t="inlineStr">
        <is>
          <t>ISS-014</t>
        </is>
      </c>
      <c r="E35" s="57" t="inlineStr">
        <is>
          <t>Branche auf Segment abbilden, rund 38 Werte</t>
        </is>
      </c>
      <c r="F35" s="57" t="inlineStr">
        <is>
          <t>Vertrieb / Andreas</t>
        </is>
      </c>
      <c r="G35" s="57" t="inlineStr">
        <is>
          <t>Hoch</t>
        </is>
      </c>
      <c r="H35" s="60" t="inlineStr">
        <is>
          <t>Offen</t>
        </is>
      </c>
      <c r="I35" s="57" t="inlineStr"/>
      <c r="J35" s="57" t="inlineStr">
        <is>
          <t>Am 10.09.2026 produktiv gemessen: die Segmentzuweisung laeuft fuer Deutschland automatisch, fuer die anderen acht Standorte nicht, weil dort das Branchenfeld im Quellsystem fehlt. ZSCHWEIZ ist mit 52'276 Zeilen der groesste Standort ohne jede Branche. Die 543 deutschen Kunden verteilen sich auf 38 Branchenwerte und decken 97,9 Prozent des DE-Umsatzes ab; genutzt werden bisher nur die 24 mit "00 Bahn", und in CustomerMarketSegments existiert ueberhaupt nur der Segmentwert Railway. Der naechste Schritt ist kein Code, sondern ein fachlicher Entscheid ueber rund 38 Zeilen. Details: docs/MARKTSEGMENTE_RAILWAY_2026-08-13.md Abschnitt 18.</t>
        </is>
      </c>
      <c r="K35" s="57" t="inlineStr"/>
      <c r="L35" s="57" t="inlineStr">
        <is>
          <t>PM-08</t>
        </is>
      </c>
      <c r="M35" s="124" t="inlineStr">
        <is>
          <t>Vorhaben</t>
        </is>
      </c>
    </row>
    <row r="36">
      <c r="A36" s="57" t="inlineStr">
        <is>
          <t>35</t>
        </is>
      </c>
      <c r="B36" s="57" t="inlineStr">
        <is>
          <t>Nur terminieren</t>
        </is>
      </c>
      <c r="C36" s="57" t="inlineStr">
        <is>
          <t>Railway</t>
        </is>
      </c>
      <c r="D36" s="57" t="inlineStr">
        <is>
          <t>ISS-014.1</t>
        </is>
      </c>
      <c r="E36" s="57" t="inlineStr">
        <is>
          <t>Zwei Datenmaengel im deutschen Kundenstamm</t>
        </is>
      </c>
      <c r="F36" s="57" t="inlineStr">
        <is>
          <t>Rohail / Ingo</t>
        </is>
      </c>
      <c r="G36" s="57" t="inlineStr">
        <is>
          <t>Niedrig</t>
        </is>
      </c>
      <c r="H36" s="60" t="inlineStr">
        <is>
          <t>Offen</t>
        </is>
      </c>
      <c r="I36" s="57" t="inlineStr"/>
      <c r="J36" s="57" t="inlineStr">
        <is>
          <t>Am 10.09.2026 beim Branchenabgleich gefunden: Kundennummer 52 traegt zwei verschiedene Bezeichnungen, und zwei Branchenwerte enden auf ein Komma. Zusammen neun Kunden betroffen. Mit Rohail klaeren.</t>
        </is>
      </c>
      <c r="K36" s="57" t="inlineStr"/>
      <c r="L36" s="57" t="inlineStr">
        <is>
          <t>PM-08</t>
        </is>
      </c>
      <c r="M36" s="124" t="inlineStr">
        <is>
          <t>Vorhaben</t>
        </is>
      </c>
    </row>
    <row r="37">
      <c r="A37" s="57" t="inlineStr">
        <is>
          <t>36</t>
        </is>
      </c>
      <c r="B37" s="57" t="inlineStr">
        <is>
          <t>Heute</t>
        </is>
      </c>
      <c r="C37" s="57" t="inlineStr">
        <is>
          <t>Plattform</t>
        </is>
      </c>
      <c r="D37" s="57" t="inlineStr">
        <is>
          <t>ISS-017</t>
        </is>
      </c>
      <c r="E37" s="57" t="inlineStr">
        <is>
          <t>IIS-App-Pool auf Dauerbetrieb stellen</t>
        </is>
      </c>
      <c r="F37" s="57" t="inlineStr">
        <is>
          <t>IT / Ingo</t>
        </is>
      </c>
      <c r="G37" s="57" t="inlineStr">
        <is>
          <t>Hoch</t>
        </is>
      </c>
      <c r="H37" s="60" t="inlineStr">
        <is>
          <t>Offen</t>
        </is>
      </c>
      <c r="I37" s="57" t="inlineStr"/>
      <c r="J37" s="57" t="inlineStr">
        <is>
          <t>Auf tragvapp401 startMode=AlwaysRunning, processModel.idleTimeout=00:00:00, preloadEnabled=true setzen (Befehle in docs/FINANCE_DASHBOARD_PROZESSABLAUF_2026-06-30.md). Ursache, dass der Einkauf-Lauf vom 10.09. bis 28.09. nie lief. Seit 28.09. per Selbstaufruf und Nachhol-Delta überbrückt, nicht ersetzt.</t>
        </is>
      </c>
      <c r="K37" s="57" t="inlineStr"/>
      <c r="L37" s="57" t="inlineStr">
        <is>
          <t>PM-09</t>
        </is>
      </c>
      <c r="M37" s="124" t="inlineStr">
        <is>
          <t>Vorhaben</t>
        </is>
      </c>
    </row>
    <row r="38">
      <c r="A38" s="57" t="inlineStr">
        <is>
          <t>37</t>
        </is>
      </c>
      <c r="B38" s="57" t="inlineStr">
        <is>
          <t>Umsetzung</t>
        </is>
      </c>
      <c r="C38" s="57" t="inlineStr">
        <is>
          <t>Plattform</t>
        </is>
      </c>
      <c r="D38" s="57" t="inlineStr">
        <is>
          <t>-</t>
        </is>
      </c>
      <c r="E38" s="57" t="inlineStr">
        <is>
          <t>Tempo der Webapp (größter Kritikpunkt)</t>
        </is>
      </c>
      <c r="F38" s="57" t="inlineStr">
        <is>
          <t>Ingo</t>
        </is>
      </c>
      <c r="G38" s="57" t="inlineStr">
        <is>
          <t>Hoch</t>
        </is>
      </c>
      <c r="H38" s="59" t="inlineStr">
        <is>
          <t>Läuft</t>
        </is>
      </c>
      <c r="I38" s="57" t="inlineStr"/>
      <c r="J38" s="57" t="inlineStr">
        <is>
          <t>Erledigt am 28.09.: Oberfläche erscheint sofort (4f2c62f), Einkauf-Standardansicht vorgewärmt (d32a6aa), Management-Cockpit lokal 41 s -&gt; 3,3 s (5a26596), Export-Dashboard 2,3 s -&gt; 0,07 s und SQLite-Cache (c35d3fa), Alles produktiv seit 28.09. 13:32; Server-Einkaufsberechnung 104,7 s -&gt; 24,4 s durch den SQLite-Cache. Offen: Finanzvergleich ohne CSV-Cache (2,4 s lokal), Rest-Faktor 2 der VM. Details docs/PLATTFORM_TEMPO_2026-09-28.md.</t>
        </is>
      </c>
      <c r="K38" s="57" t="inlineStr"/>
      <c r="L38" s="57" t="inlineStr">
        <is>
          <t>PM-09</t>
        </is>
      </c>
      <c r="M38" s="124" t="inlineStr">
        <is>
          <t>Vorhaben</t>
        </is>
      </c>
    </row>
    <row r="39">
      <c r="A39" s="57" t="inlineStr">
        <is>
          <t>38</t>
        </is>
      </c>
      <c r="B39" s="57" t="inlineStr">
        <is>
          <t>Erledigt</t>
        </is>
      </c>
      <c r="C39" s="57" t="inlineStr">
        <is>
          <t>HR</t>
        </is>
      </c>
      <c r="D39" s="57" t="inlineStr">
        <is>
          <t>-</t>
        </is>
      </c>
      <c r="E39" s="57" t="inlineStr">
        <is>
          <t>HR-Antworten von Sonja Richter umsetzen</t>
        </is>
      </c>
      <c r="F39" s="57" t="inlineStr">
        <is>
          <t>Ingo</t>
        </is>
      </c>
      <c r="G39" s="57" t="inlineStr">
        <is>
          <t>Mittel</t>
        </is>
      </c>
      <c r="H39" s="58" t="inlineStr">
        <is>
          <t>Erledigt</t>
        </is>
      </c>
      <c r="I39" s="57" t="inlineStr"/>
      <c r="J39" s="57" t="inlineStr">
        <is>
          <t>Langzeitkrank ab 61. Tag, Reminderprofile ohne FTE ausgeschlossen, Restferien-Ampel nach Quartal, gleitende Prognose und Vorjahr. Produktiv seit 28.09.2026 11:25 (5ae7f31). docs/HR_KPI.md Abschnitt 8.</t>
        </is>
      </c>
      <c r="K39" s="57" t="inlineStr">
        <is>
          <t>28.09.2026</t>
        </is>
      </c>
      <c r="L39" s="57" t="inlineStr">
        <is>
          <t>PM-07</t>
        </is>
      </c>
      <c r="M39" s="124" t="inlineStr">
        <is>
          <t>Vorhaben</t>
        </is>
      </c>
    </row>
    <row r="40">
      <c r="A40" s="57" t="inlineStr">
        <is>
          <t>39</t>
        </is>
      </c>
      <c r="B40" s="57" t="inlineStr">
        <is>
          <t>Nur terminieren</t>
        </is>
      </c>
      <c r="C40" s="57" t="inlineStr">
        <is>
          <t>HR</t>
        </is>
      </c>
      <c r="D40" s="57" t="inlineStr">
        <is>
          <t>-</t>
        </is>
      </c>
      <c r="E40" s="57" t="inlineStr">
        <is>
          <t>HR: periodengenaue Krankenquote und aktuelle Exporte</t>
        </is>
      </c>
      <c r="F40" s="57" t="inlineStr">
        <is>
          <t>Sonja / Ingo</t>
        </is>
      </c>
      <c r="G40" s="57" t="inlineStr">
        <is>
          <t>Mittel</t>
        </is>
      </c>
      <c r="H40" s="60" t="inlineStr">
        <is>
          <t>Offen</t>
        </is>
      </c>
      <c r="I40" s="57" t="inlineStr">
        <is>
          <t>nächster Call</t>
        </is>
      </c>
      <c r="J40" s="57" t="inlineStr">
        <is>
          <t>Mail-Entwurf an Sonja mit dem Umsetzungsstand liegt vor (28.09.), Versand durch Ingo. Rexx-Absenzdatei hat pro Person nur Summen, periodengenau nur mit auf den Zeitraum eingegrenztem Export. Dateien auf dem Server sind vom 08.07. (Rexx) und 26.05. (SAP), neue Exporte anfordern.</t>
        </is>
      </c>
      <c r="K40" s="57" t="inlineStr"/>
      <c r="L40" s="57" t="inlineStr">
        <is>
          <t>PM-07</t>
        </is>
      </c>
      <c r="M40" s="124" t="inlineStr">
        <is>
          <t>Vorhaben</t>
        </is>
      </c>
    </row>
    <row r="41">
      <c r="A41" s="57" t="inlineStr">
        <is>
          <t>40</t>
        </is>
      </c>
      <c r="B41" s="57" t="inlineStr">
        <is>
          <t>Hoch, haengt an anderen</t>
        </is>
      </c>
      <c r="C41" s="57" t="inlineStr">
        <is>
          <t>Finance IT</t>
        </is>
      </c>
      <c r="D41" s="57" t="inlineStr">
        <is>
          <t>ISS-007.2</t>
        </is>
      </c>
      <c r="E41" s="57" t="inlineStr">
        <is>
          <t>TR IT Referenzkost je Artikel: Italien baut Abfrage nach</t>
        </is>
      </c>
      <c r="F41" s="57" t="inlineStr">
        <is>
          <t>Ingo / Andreas</t>
        </is>
      </c>
      <c r="G41" s="57" t="inlineStr">
        <is>
          <t>Mittel</t>
        </is>
      </c>
      <c r="H41" s="57" t="inlineStr">
        <is>
          <t>Wartet auf andere</t>
        </is>
      </c>
      <c r="I41" s="57" t="inlineStr"/>
      <c r="J41" s="57" t="inlineStr">
        <is>
          <t>Antwort an Paola am 29.09.2026 versendet. Jetzt auf ihre Bestätigung warten, ob StockValue dem bilanziellen Bestandswert entspricht; danach Fachentscheid Andreas.</t>
        </is>
      </c>
      <c r="K41" s="57" t="inlineStr"/>
      <c r="L41" s="57" t="inlineStr">
        <is>
          <t>PM-05</t>
        </is>
      </c>
      <c r="M41" s="122" t="inlineStr">
        <is>
          <t>Projekt</t>
        </is>
      </c>
    </row>
    <row r="42">
      <c r="A42" s="57" t="inlineStr">
        <is>
          <t>41</t>
        </is>
      </c>
      <c r="B42" s="57" t="inlineStr">
        <is>
          <t>Umsetzung</t>
        </is>
      </c>
      <c r="C42" s="57" t="inlineStr">
        <is>
          <t>Railway</t>
        </is>
      </c>
      <c r="D42" s="57" t="inlineStr">
        <is>
          <t>ISS-016</t>
        </is>
      </c>
      <c r="E42" s="57" t="inlineStr">
        <is>
          <t>Fachliche Kundennummer an deutschen Verkaufszeilen</t>
        </is>
      </c>
      <c r="F42" s="57" t="inlineStr">
        <is>
          <t>Ingo / Rohail</t>
        </is>
      </c>
      <c r="G42" s="57" t="inlineStr">
        <is>
          <t>Hoch</t>
        </is>
      </c>
      <c r="H42" s="57" t="inlineStr">
        <is>
          <t>Grösstenteils erledigt</t>
        </is>
      </c>
      <c r="I42" s="57" t="inlineStr"/>
      <c r="J42" s="57" t="inlineStr">
        <is>
          <t>Gutschriftenauszug bei Rohail anfordern, Doppelnummern Sonepar/EMS/Magnetic Sense fachlich klären, dauerhaft den Join in alphaplanExport.ps1 ergänzen.</t>
        </is>
      </c>
      <c r="K42" s="57" t="inlineStr"/>
      <c r="L42" s="57" t="inlineStr">
        <is>
          <t>PM-08</t>
        </is>
      </c>
      <c r="M42" s="124" t="inlineStr">
        <is>
          <t>Vorhaben</t>
        </is>
      </c>
    </row>
    <row r="43">
      <c r="A43" s="57" t="inlineStr">
        <is>
          <t>42</t>
        </is>
      </c>
      <c r="B43" s="57" t="inlineStr">
        <is>
          <t>Entscheid</t>
        </is>
      </c>
      <c r="C43" s="57" t="inlineStr">
        <is>
          <t>Finance Standardkosten</t>
        </is>
      </c>
      <c r="D43" s="57" t="inlineStr">
        <is>
          <t>ISS-003.2</t>
        </is>
      </c>
      <c r="E43" s="57" t="inlineStr">
        <is>
          <t>5’274 lokale Zeilen ohne positiven lokalen Standardpreis</t>
        </is>
      </c>
      <c r="F43" s="57" t="inlineStr">
        <is>
          <t>Standorte</t>
        </is>
      </c>
      <c r="G43" s="57" t="inlineStr">
        <is>
          <t>Mittel</t>
        </is>
      </c>
      <c r="H43" s="60" t="inlineStr">
        <is>
          <t>Offen</t>
        </is>
      </c>
      <c r="I43" s="57" t="inlineStr"/>
      <c r="J43" s="57" t="inlineStr">
        <is>
          <t>Fachlich entscheiden, ob Deutschland und Frankreich diese Standardpreise pflegen können.</t>
        </is>
      </c>
      <c r="K43" s="57" t="inlineStr"/>
      <c r="L43" s="57" t="inlineStr">
        <is>
          <t>PM-05</t>
        </is>
      </c>
      <c r="M43" s="122" t="inlineStr">
        <is>
          <t>Projekt</t>
        </is>
      </c>
    </row>
    <row r="44">
      <c r="A44" s="57" t="inlineStr">
        <is>
          <t>43</t>
        </is>
      </c>
      <c r="B44" s="57" t="inlineStr">
        <is>
          <t>Nur terminieren</t>
        </is>
      </c>
      <c r="C44" s="57" t="inlineStr">
        <is>
          <t>Projektmanagement</t>
        </is>
      </c>
      <c r="D44" s="57" t="inlineStr">
        <is>
          <t>PM-10</t>
        </is>
      </c>
      <c r="E44" s="57" t="inlineStr">
        <is>
          <t>Ablösung Smartsheet: Projektauftrag schreiben</t>
        </is>
      </c>
      <c r="F44" s="57" t="inlineStr">
        <is>
          <t>Ingo / Philip Steiger</t>
        </is>
      </c>
      <c r="G44" s="57" t="inlineStr">
        <is>
          <t>Mittel</t>
        </is>
      </c>
      <c r="H44" s="60" t="inlineStr">
        <is>
          <t>Offen</t>
        </is>
      </c>
      <c r="I44" s="57" t="inlineStr"/>
      <c r="J44" s="57" t="inlineStr">
        <is>
          <t>Projektauftrag in der Initialisierung schreiben (Vorlage im Blatt Vorlage Projektauftrag), Stufe nach Aufwandschätzung festlegen, Abgleich mit dem Project-Power-Pack-Test von Philip Steiger.</t>
        </is>
      </c>
      <c r="K44" s="57" t="inlineStr"/>
      <c r="L44" s="57" t="inlineStr">
        <is>
          <t>PM-10</t>
        </is>
      </c>
      <c r="M44" s="124" t="inlineStr">
        <is>
          <t>Vorhaben</t>
        </is>
      </c>
    </row>
    <row r="45">
      <c r="A45" s="57" t="inlineStr">
        <is>
          <t>44</t>
        </is>
      </c>
      <c r="B45" s="57" t="inlineStr">
        <is>
          <t>Nur terminieren</t>
        </is>
      </c>
      <c r="C45" s="57" t="inlineStr">
        <is>
          <t>Plattform</t>
        </is>
      </c>
      <c r="D45" s="57" t="inlineStr">
        <is>
          <t>PM-11</t>
        </is>
      </c>
      <c r="E45" s="57" t="inlineStr">
        <is>
          <t>Data Lake: Leistung analysieren und messen</t>
        </is>
      </c>
      <c r="F45" s="57" t="inlineStr">
        <is>
          <t>Ingo</t>
        </is>
      </c>
      <c r="G45" s="57" t="inlineStr">
        <is>
          <t>Mittel</t>
        </is>
      </c>
      <c r="H45" s="60" t="inlineStr">
        <is>
          <t>Offen</t>
        </is>
      </c>
      <c r="I45" s="57" t="inlineStr"/>
      <c r="J45" s="57" t="inlineStr">
        <is>
          <t>Klären, welche Leistung gemeint ist und wie sie sich von PM-09 abgrenzt; danach messen und einen kurzen Befund schreiben.</t>
        </is>
      </c>
      <c r="K45" s="57" t="inlineStr"/>
      <c r="L45" s="57" t="inlineStr">
        <is>
          <t>PM-11</t>
        </is>
      </c>
      <c r="M45" s="123" t="inlineStr">
        <is>
          <t>Kleinauftrag</t>
        </is>
      </c>
    </row>
    <row r="46">
      <c r="A46" s="57" t="inlineStr">
        <is>
          <t>45</t>
        </is>
      </c>
      <c r="B46" s="57" t="inlineStr">
        <is>
          <t>Nur terminieren</t>
        </is>
      </c>
      <c r="C46" s="57" t="inlineStr">
        <is>
          <t>Projektmanagement</t>
        </is>
      </c>
      <c r="D46" s="57" t="inlineStr">
        <is>
          <t>PM-12</t>
        </is>
      </c>
      <c r="E46" s="57" t="inlineStr">
        <is>
          <t>Power BI: Anwendervertreter je Dashboard</t>
        </is>
      </c>
      <c r="F46" s="57" t="inlineStr">
        <is>
          <t>Ingo</t>
        </is>
      </c>
      <c r="G46" s="57" t="inlineStr">
        <is>
          <t>Mittel</t>
        </is>
      </c>
      <c r="H46" s="60" t="inlineStr">
        <is>
          <t>Offen</t>
        </is>
      </c>
      <c r="I46" s="57" t="inlineStr"/>
      <c r="J46" s="57" t="inlineStr">
        <is>
          <t>Produktive Dashboards auflisten und je Dashboard einen Anwendervertreter aus dem Fachbereich benennen lassen.</t>
        </is>
      </c>
      <c r="K46" s="57" t="inlineStr"/>
      <c r="L46" s="57" t="inlineStr">
        <is>
          <t>PM-12</t>
        </is>
      </c>
      <c r="M46" s="123" t="inlineStr">
        <is>
          <t>Kleinauftrag</t>
        </is>
      </c>
    </row>
    <row r="47">
      <c r="A47" s="57" t="inlineStr">
        <is>
          <t>46</t>
        </is>
      </c>
      <c r="B47" s="57" t="inlineStr">
        <is>
          <t>Umsetzung</t>
        </is>
      </c>
      <c r="C47" s="57" t="inlineStr">
        <is>
          <t>Finance Gruppenmarge</t>
        </is>
      </c>
      <c r="D47" s="57" t="inlineStr">
        <is>
          <t>ISS-018</t>
        </is>
      </c>
      <c r="E47" s="57" t="inlineStr">
        <is>
          <t>Konsistenz: Reparatur A1, A3, A4, A5 (ISS-018.1 bis .4)</t>
        </is>
      </c>
      <c r="F47" s="57" t="inlineStr">
        <is>
          <t>Ingo</t>
        </is>
      </c>
      <c r="G47" s="57" t="inlineStr">
        <is>
          <t>Hoch</t>
        </is>
      </c>
      <c r="H47" s="60" t="inlineStr">
        <is>
          <t>Offen</t>
        </is>
      </c>
      <c r="I47" s="57" t="inlineStr"/>
      <c r="J47" s="57" t="inlineStr">
        <is>
          <t>Sichtbare Rechen- und Anzeigefehler beheben: CHF-Schalter gegen Prüfbuch, zwei falsche Währungslabels, Cockpit-Export nur 1'000 Zeilen. Braucht einen Reparaturauftrag mit Deploy. Bericht docs/FINANCE_REVIEW_2026-09-29.md.</t>
        </is>
      </c>
      <c r="K47" s="57" t="inlineStr"/>
      <c r="L47" s="57" t="inlineStr">
        <is>
          <t>PM-05</t>
        </is>
      </c>
      <c r="M47" s="122" t="inlineStr">
        <is>
          <t>Projekt</t>
        </is>
      </c>
    </row>
    <row r="48">
      <c r="A48" s="57" t="inlineStr">
        <is>
          <t>47</t>
        </is>
      </c>
      <c r="B48" s="57" t="inlineStr">
        <is>
          <t>Entscheid</t>
        </is>
      </c>
      <c r="C48" s="57" t="inlineStr">
        <is>
          <t>Finance Gruppenmarge</t>
        </is>
      </c>
      <c r="D48" s="57" t="inlineStr">
        <is>
          <t>ISS-018</t>
        </is>
      </c>
      <c r="E48" s="57" t="inlineStr">
        <is>
          <t>Konsistenz: Fachentscheide B1 bis B3 (ISS-018.5 bis .7)</t>
        </is>
      </c>
      <c r="F48" s="57" t="inlineStr">
        <is>
          <t>Andreas / Ingo</t>
        </is>
      </c>
      <c r="G48" s="57" t="inlineStr">
        <is>
          <t>Hoch</t>
        </is>
      </c>
      <c r="H48" s="60" t="inlineStr">
        <is>
          <t>Offen</t>
        </is>
      </c>
      <c r="I48" s="57" t="inlineStr"/>
      <c r="J48" s="57" t="inlineStr">
        <is>
          <t>Andreas entscheidet: Wertgutschriften mit Menge 0, Kosten kostenloser Ware, interner Lieferant ohne Konzernkosten soll offen bleiben statt OK. Vorher Fallzahlen in den Daten messen.</t>
        </is>
      </c>
      <c r="K48" s="57" t="inlineStr"/>
      <c r="L48" s="57" t="inlineStr">
        <is>
          <t>PM-05</t>
        </is>
      </c>
      <c r="M48" s="122" t="inlineStr">
        <is>
          <t>Projekt</t>
        </is>
      </c>
    </row>
    <row r="49">
      <c r="A49" s="57" t="inlineStr">
        <is>
          <t>48</t>
        </is>
      </c>
      <c r="B49" s="57" t="inlineStr">
        <is>
          <t>Heute</t>
        </is>
      </c>
      <c r="C49" s="57" t="inlineStr">
        <is>
          <t>Railway</t>
        </is>
      </c>
      <c r="D49" s="57" t="inlineStr">
        <is>
          <t>ISS-019</t>
        </is>
      </c>
      <c r="E49" s="57" t="inlineStr">
        <is>
          <t>Railway-Gesamtsicht für Heiko und Patrick, DB4 klären</t>
        </is>
      </c>
      <c r="F49" s="57" t="inlineStr">
        <is>
          <t>Ingo / Patrik / Andreas</t>
        </is>
      </c>
      <c r="G49" s="57" t="inlineStr">
        <is>
          <t>Hoch</t>
        </is>
      </c>
      <c r="H49" s="60" t="inlineStr">
        <is>
          <t>Offen</t>
        </is>
      </c>
      <c r="I49" s="57" t="inlineStr"/>
      <c r="J49" s="57" t="inlineStr">
        <is>
          <t>Antwort per Teams geben (Umsatz technisch für alle Standorte da, belastbar nur DE); Patrik die 171 Vorschläge außerhalb DE bestätigen lassen; mit Andreas und Rohail festlegen, was DB4 enthält, danach Export-SQL um vorhandene Quellfelder erweitern.</t>
        </is>
      </c>
      <c r="K49" s="57" t="inlineStr"/>
      <c r="L49" s="57" t="inlineStr">
        <is>
          <t>PM-08</t>
        </is>
      </c>
      <c r="M49" s="124" t="inlineStr">
        <is>
          <t>Vorhaben</t>
        </is>
      </c>
    </row>
    <row r="50">
      <c r="A50" s="57" t="inlineStr">
        <is>
          <t>49</t>
        </is>
      </c>
      <c r="B50" s="57" t="inlineStr">
        <is>
          <t>Heute</t>
        </is>
      </c>
      <c r="C50" s="57" t="inlineStr">
        <is>
          <t>Finance ES</t>
        </is>
      </c>
      <c r="D50" s="57" t="inlineStr">
        <is>
          <t>ISS-020</t>
        </is>
      </c>
      <c r="E50" s="57" t="inlineStr">
        <is>
          <t>Spanien: seit Mitte Juli keine neuen Zeilen im Import</t>
        </is>
      </c>
      <c r="F50" s="57" t="inlineStr">
        <is>
          <t>Ingo</t>
        </is>
      </c>
      <c r="G50" s="57" t="inlineStr">
        <is>
          <t>Hoch</t>
        </is>
      </c>
      <c r="H50" s="59" t="inlineStr">
        <is>
          <t>Läuft</t>
        </is>
      </c>
      <c r="I50" s="57" t="inlineStr"/>
      <c r="J50" s="57" t="inlineStr">
        <is>
          <t>Ursache bestätigt und Korrektur seit 29.09. 09:25 produktiv. Offen: nächster Spanien-Import muss die Dateien ab 16.07. einlesen, danach Sales_All neu erzeugen und Spanien-Zahlen prüfen.</t>
        </is>
      </c>
      <c r="K50" s="57" t="inlineStr"/>
      <c r="L50" s="57" t="inlineStr">
        <is>
          <t>PM-05</t>
        </is>
      </c>
      <c r="M50" s="122" t="inlineStr">
        <is>
          <t>Projekt</t>
        </is>
      </c>
    </row>
    <row r="51">
      <c r="A51" s="57" t="inlineStr">
        <is>
          <t>50</t>
        </is>
      </c>
      <c r="B51" s="57" t="inlineStr">
        <is>
          <t>Umsetzung</t>
        </is>
      </c>
      <c r="C51" s="57" t="inlineStr">
        <is>
          <t>HR</t>
        </is>
      </c>
      <c r="D51" s="57" t="inlineStr">
        <is>
          <t>PM-07</t>
        </is>
      </c>
      <c r="E51" s="57" t="inlineStr">
        <is>
          <t>HR-Review-Reparaturen von Codex committen, deployen, sichtprüfen</t>
        </is>
      </c>
      <c r="F51" s="57" t="inlineStr">
        <is>
          <t>Ingo</t>
        </is>
      </c>
      <c r="G51" s="57" t="inlineStr">
        <is>
          <t>Hoch</t>
        </is>
      </c>
      <c r="H51" s="60" t="inlineStr">
        <is>
          <t>Offen</t>
        </is>
      </c>
      <c r="I51" s="57" t="inlineStr"/>
      <c r="J51" s="57" t="inlineStr">
        <is>
          <t>H1 bis H5 (Zeitraum/YTD, Personenquote, Jahresfilter, Tabellenkappung) sind lokal umgesetzt, 138/138 gezielte Tests laut Codex, aber nicht committet und nicht deployed. Vor dem Deploy Gesamtsuite im sauberen Worktree; Finance_All nicht mitnehmen. Bericht docs/HR_EINKAUF_REVIEW_2026-09-29.md.</t>
        </is>
      </c>
      <c r="K51" s="57" t="inlineStr"/>
      <c r="L51" s="57" t="inlineStr">
        <is>
          <t>PM-07</t>
        </is>
      </c>
      <c r="M51" s="124" t="inlineStr">
        <is>
          <t>Vorhaben</t>
        </is>
      </c>
    </row>
    <row r="52">
      <c r="A52" s="57" t="inlineStr">
        <is>
          <t>51</t>
        </is>
      </c>
      <c r="B52" s="57" t="inlineStr">
        <is>
          <t>Umsetzung</t>
        </is>
      </c>
      <c r="C52" s="57" t="inlineStr">
        <is>
          <t>Einkauf</t>
        </is>
      </c>
      <c r="D52" s="57" t="inlineStr">
        <is>
          <t>PM-04</t>
        </is>
      </c>
      <c r="E52" s="57" t="inlineStr">
        <is>
          <t>Einkauf-Review-Reparaturen von Codex committen, deployen, sichtprüfen</t>
        </is>
      </c>
      <c r="F52" s="57" t="inlineStr">
        <is>
          <t>Ingo</t>
        </is>
      </c>
      <c r="G52" s="57" t="inlineStr">
        <is>
          <t>Hoch</t>
        </is>
      </c>
      <c r="H52" s="60" t="inlineStr">
        <is>
          <t>Offen</t>
        </is>
      </c>
      <c r="I52" s="57" t="inlineStr"/>
      <c r="J52" s="57" t="inlineStr">
        <is>
          <t>E1 Jahres-Spend ungekappt, E2 Warengruppe einheitlich, C1 keine Live-Stichproben-KPIs, C2 Warnung bei fehlenden Kursen sind lokal umgesetzt, nicht committet und nicht deployed. Offen bleibt der Fachentscheid zur Ersatzkursregel.</t>
        </is>
      </c>
      <c r="K52" s="57" t="inlineStr"/>
      <c r="L52" s="57" t="inlineStr">
        <is>
          <t>PM-04</t>
        </is>
      </c>
      <c r="M52" s="122" t="inlineStr">
        <is>
          <t>Projekt</t>
        </is>
      </c>
    </row>
  </sheetData>
  <autoFilter ref="A1:M52"/>
  <printOptions horizontalCentered="0" verticalCentered="0" headings="0" gridLines="0"/>
  <pageMargins left="0.75" right="0.75" top="0.75" bottom="0.5" header="0.5" footer="0.75"/>
  <pageSetup orientation="landscape" paperSize="1" scale="100" pageOrder="downThenOver" blackAndWhite="0" draft="0" errors="displayed"/>
</worksheet>
</file>

<file path=xl/worksheets/sheet4.xml><?xml version="1.0" encoding="utf-8"?>
<worksheet xmlns="http://schemas.openxmlformats.org/spreadsheetml/2006/main">
  <sheetPr>
    <outlinePr summaryBelow="1" summaryRight="1"/>
    <pageSetUpPr/>
  </sheetPr>
  <dimension ref="A1:B12"/>
  <sheetViews>
    <sheetView tabSelected="0" workbookViewId="0">
      <selection activeCell="A1" sqref="A1"/>
    </sheetView>
  </sheetViews>
  <sheetFormatPr baseColWidth="8" defaultRowHeight="15"/>
  <cols>
    <col width="22.710625" customWidth="1" style="47" min="1" max="1"/>
    <col width="100.710625" customWidth="1" style="61" min="2" max="2"/>
  </cols>
  <sheetData>
    <row r="1">
      <c r="A1" s="62" t="inlineStr">
        <is>
          <t>Thema</t>
        </is>
      </c>
      <c r="B1" s="63" t="inlineStr">
        <is>
          <t>Hinweis</t>
        </is>
      </c>
    </row>
    <row r="2" ht="40" customHeight="1" s="48">
      <c r="A2" s="64" t="inlineStr">
        <is>
          <t>Quelle</t>
        </is>
      </c>
      <c r="B2" s="61" t="inlineStr">
        <is>
          <t>projektmanagement/Wochen_Todo.tsv ist die fuehrende Fassung. Diese Arbeitsmappe wird daraus erzeugt; Aenderungen bitte im TSV nachziehen oder per Chatbefehl neu erzeugen lassen, sonst laufen beide auseinander.</t>
        </is>
      </c>
    </row>
    <row r="3" ht="40" customHeight="1" s="48">
      <c r="A3" s="64" t="inlineStr">
        <is>
          <t>Herkunft der Punkte</t>
        </is>
      </c>
      <c r="B3" s="61" t="inlineStr">
        <is>
          <t>Zusammengestellt aus docs/Issue_Log_Konsolidiert_2026-08-12.tsv (Finance), projektmanagement/PROJEKTSTATUS.md (PM-01 bis PM-08) und docs/AGENT_COORDINATION.md (aktuelle technische Nachweise). Keine neuen Fakten, nur eine woechentliche Priorisierung.</t>
        </is>
      </c>
    </row>
    <row r="4" ht="40" customHeight="1" s="48">
      <c r="A4" s="64" t="inlineStr">
        <is>
          <t>Sortieren, Filtern, Gruppieren</t>
        </is>
      </c>
      <c r="B4" s="61" t="inlineStr">
        <is>
          <t>Die Tabelle ist bewusst flach ohne verbundene Zellen aufgebaut. In Excel per Spaltenkopf-Pfeil filtern, ueber Daten &gt; Sortieren nach Bereich oder Dringlichkeit ordnen, oder ueber Daten &gt; Gliederung &gt; Teilergebnisse nach Bereich gruppieren.</t>
        </is>
      </c>
    </row>
    <row r="5" ht="40" customHeight="1" s="48">
      <c r="A5" s="64" t="inlineStr">
        <is>
          <t>Aktualisieren</t>
        </is>
      </c>
      <c r="B5" s="61" t="inlineStr">
        <is>
          <t>Auf Zuruf im Chat neu erzeugen lassen. Erledigte Punkte werden im TSV auf Status 'Erledigt' gesetzt und erscheinen hier durchgestrichen und gruen.</t>
        </is>
      </c>
    </row>
    <row r="6" ht="40" customHeight="1" s="48">
      <c r="A6" s="64" t="inlineStr">
        <is>
          <t>Farbe Dringlichkeit</t>
        </is>
      </c>
      <c r="B6" s="61" t="inlineStr">
        <is>
          <t>Heute = rot, Hoch/haengt an anderen = orange, Umsetzung = blau, Nur terminieren = grau.</t>
        </is>
      </c>
    </row>
    <row r="7" ht="40" customHeight="1" s="48">
      <c r="A7" s="64" t="inlineStr">
        <is>
          <t>Farbe Bereich</t>
        </is>
      </c>
      <c r="B7" s="61" t="inlineStr">
        <is>
          <t>Finance = hellblau, SAP = grau, Einkauf = gruen, Marktsegmente = violett, nur zur schnellen optischen Unterscheidung.</t>
        </is>
      </c>
    </row>
    <row r="8" ht="40" customHeight="1" s="48">
      <c r="A8" s="64" t="inlineStr">
        <is>
          <t>Farbe Prioritaet</t>
        </is>
      </c>
      <c r="B8" s="61" t="inlineStr">
        <is>
          <t>Hoch = rot, Mittel = orange, Niedrig = grau.</t>
        </is>
      </c>
    </row>
    <row r="9" ht="40" customHeight="1" s="48">
      <c r="A9" s="64" t="inlineStr">
        <is>
          <t>Farbe Status</t>
        </is>
      </c>
      <c r="B9" s="61" t="inlineStr">
        <is>
          <t>Erledigt = gruen, Laeuft = blau, Blockiert = rot, Wartet auf andere/Entscheid/Vorfrage = orange, Offen = gelb.</t>
        </is>
      </c>
    </row>
    <row r="10" ht="40" customHeight="1" s="48">
      <c r="A10" s="64" t="inlineStr">
        <is>
          <t>Faelligkeit</t>
        </is>
      </c>
      <c r="B10" s="61" t="inlineStr">
        <is>
          <t>Ein gepflegtes Datum wird rot und fett hervorgehoben, solange der Punkt nicht erledigt ist.</t>
        </is>
      </c>
    </row>
    <row r="11" ht="40" customHeight="1" s="48">
      <c r="A11" s="64" t="inlineStr">
        <is>
          <t>Kein Ersatz fuer das Issue-Log</t>
        </is>
      </c>
      <c r="B11" s="61" t="inlineStr">
        <is>
          <t>Finance-Detailstatus bleibt in docs/Issue_Log_Konsolidiert_2026-08-12.tsv fuehrend. Diese Mappe ist eine persoenliche Wochenauswahl, keine vollstaendige Zweitquelle.</t>
        </is>
      </c>
    </row>
    <row r="12" ht="40" customHeight="1" s="48">
      <c r="A12" s="64" t="inlineStr">
        <is>
          <t>Blatt Zusammenfassung</t>
        </is>
      </c>
      <c r="B12" s="61" t="inlineStr">
        <is>
          <t>Zeigt die uebergeordneten Projektaufgaben PM-01 bis PM-07 sowie zwei aktuelle Punkte ohne PM-Nummer, mit Fortschrittsbalken. Der Fortschritt ist eine Einschaetzung aus dem Text, keine gemessene Kennzahl, und wird nicht automatisch aus dem Wochen-Todo abgeleitet.</t>
        </is>
      </c>
    </row>
  </sheetData>
  <printOptions horizontalCentered="0" verticalCentered="0" headings="0" gridLines="0"/>
  <pageMargins left="0.75" right="0.75" top="0.75" bottom="0.5" header="0.5" footer="0.75"/>
  <pageSetup orientation="default" paperSize="1" scale="100" pageOrder="downThenOver" blackAndWhite="0" draft="0" errors="displayed"/>
</worksheet>
</file>

<file path=xl/worksheets/sheet5.xml><?xml version="1.0" encoding="utf-8"?>
<worksheet xmlns="http://schemas.openxmlformats.org/spreadsheetml/2006/main">
  <sheetPr>
    <outlinePr summaryBelow="1" summaryRight="1"/>
    <pageSetUpPr fitToPage="1"/>
  </sheetPr>
  <dimension ref="A1:J27"/>
  <sheetViews>
    <sheetView tabSelected="0" workbookViewId="0">
      <pane xSplit="5" ySplit="4" topLeftCell="F5" activePane="bottomRight" state="frozenSplit"/>
      <selection activeCell="A1" sqref="A1"/>
      <selection pane="bottomRight" activeCell="A1" sqref="A1"/>
    </sheetView>
  </sheetViews>
  <sheetFormatPr baseColWidth="8" defaultColWidth="9.139196" defaultRowHeight="15"/>
  <cols>
    <col width="6.710938" customWidth="1" style="47" min="1" max="1"/>
    <col width="20.710938" customWidth="1" style="47" min="2" max="2"/>
    <col width="22.710938" customWidth="1" style="47" min="3" max="3"/>
    <col width="13.710938" customWidth="1" style="47" min="4" max="4"/>
    <col width="34.710938" customWidth="1" style="47" min="5" max="5"/>
    <col width="20.710938" customWidth="1" style="47" min="6" max="6"/>
    <col width="21.710938" customWidth="1" style="47" min="7" max="7"/>
    <col width="62.710938" customWidth="1" style="47" min="8" max="8"/>
    <col width="66.710938" customWidth="1" style="47" min="9" max="9"/>
    <col width="55.710938" customWidth="1" style="47" min="10" max="10"/>
  </cols>
  <sheetData>
    <row r="1" ht="27.95" customHeight="1" s="48">
      <c r="A1" s="65" t="inlineStr">
        <is>
          <t>Erläuterungen zu den offenen Wochen-Todos</t>
        </is>
      </c>
    </row>
    <row r="2" ht="21.95" customHeight="1" s="48">
      <c r="A2" s="66" t="inlineStr">
        <is>
          <t>Stand 04.09.2026 – nur Status ungleich „Erledigt“ – 23 Punkte</t>
        </is>
      </c>
    </row>
    <row r="4" ht="32.1" customHeight="1" s="48">
      <c r="A4" s="67" t="inlineStr">
        <is>
          <t>Nr.</t>
        </is>
      </c>
      <c r="B4" s="67" t="inlineStr">
        <is>
          <t>Dringlichkeit</t>
        </is>
      </c>
      <c r="C4" s="67" t="inlineStr">
        <is>
          <t>Bereich</t>
        </is>
      </c>
      <c r="D4" s="67" t="inlineStr">
        <is>
          <t>ID</t>
        </is>
      </c>
      <c r="E4" s="67" t="inlineStr">
        <is>
          <t>Thema</t>
        </is>
      </c>
      <c r="F4" s="67" t="inlineStr">
        <is>
          <t>Owner</t>
        </is>
      </c>
      <c r="G4" s="67" t="inlineStr">
        <is>
          <t>Status</t>
        </is>
      </c>
      <c r="H4" s="67" t="inlineStr">
        <is>
          <t>Worum geht es?</t>
        </is>
      </c>
      <c r="I4" s="67" t="inlineStr">
        <is>
          <t>Was ist zu tun / zu entscheiden?</t>
        </is>
      </c>
      <c r="J4" s="67" t="inlineStr">
        <is>
          <t>Erledigt, wenn …</t>
        </is>
      </c>
    </row>
    <row r="5" ht="15" customHeight="1" s="48">
      <c r="A5" s="68" t="inlineStr">
        <is>
          <t>3</t>
        </is>
      </c>
      <c r="B5" s="68" t="inlineStr">
        <is>
          <t>Heute</t>
        </is>
      </c>
      <c r="C5" s="68" t="inlineStr">
        <is>
          <t>SAP ZC12</t>
        </is>
      </c>
      <c r="D5" s="68" t="inlineStr">
        <is>
          <t>PM-02</t>
        </is>
      </c>
      <c r="E5" s="68" t="inlineStr">
        <is>
          <t>ZC12 Fehler bei Nullmengen</t>
        </is>
      </c>
      <c r="F5" s="68" t="inlineStr">
        <is>
          <t>Ingo</t>
        </is>
      </c>
      <c r="G5" s="69" t="inlineStr">
        <is>
          <t>Blockiert</t>
        </is>
      </c>
      <c r="H5" s="68" t="inlineStr">
        <is>
          <t>Bei Vorgabewerten von null formatiert der vermutete Report den Wert als nackte 0. CA02 kann diese BDC-Eingabe ablehnen; die betroffene Zeile wird dann mit Fehlereintrag übersprungen. Noch ist nicht bestätigt, dass die Transaktion ZC12 tatsächlich das analysierte Programm Z_ABGLEICH_KTSCH startet.</t>
        </is>
      </c>
      <c r="I5" s="68" t="inlineStr">
        <is>
          <t>Zuerst in SE93 die Zuordnung von ZC12 prüfen. Falls sie stimmt: Debug-Schalter und Tracing reaktivieren, einen Nullmengenfall reproduzieren und die SAP-Versionshistorie von fmt_quan prüfen. Erst danach den Formatierungsweg korrigieren und mit einem Null- sowie einem Normalfall testen.</t>
        </is>
      </c>
      <c r="J5" s="68" t="inlineStr">
        <is>
          <t>Die Transaktionszuordnung ist belegt, der Nullmengenfall läuft ohne stilles Überspringen durch und ein Regressionstest bestätigt, dass normale Mengen unverändert verarbeitet werden.</t>
        </is>
      </c>
    </row>
    <row r="6" ht="15" customHeight="1" s="48">
      <c r="A6" s="68" t="inlineStr">
        <is>
          <t>4</t>
        </is>
      </c>
      <c r="B6" s="68" t="inlineStr">
        <is>
          <t>Hoch, haengt an anderen</t>
        </is>
      </c>
      <c r="C6" s="68" t="inlineStr">
        <is>
          <t>Finance FR</t>
        </is>
      </c>
      <c r="D6" s="68" t="inlineStr">
        <is>
          <t>ISS-001.2</t>
        </is>
      </c>
      <c r="E6" s="68" t="inlineStr">
        <is>
          <t>Datenzufluss TR FR</t>
        </is>
      </c>
      <c r="F6" s="68" t="inlineStr">
        <is>
          <t>Frankreich / Ingo</t>
        </is>
      </c>
      <c r="G6" s="70" t="inlineStr">
        <is>
          <t>Wartet auf andere</t>
        </is>
      </c>
      <c r="H6" s="68" t="inlineStr">
        <is>
          <t>Die französische B1-Quelle enthält seit 30.07.2026 keine neuen Rechnungen oder Lieferscheine, obwohl Aufträge und Wareneingänge weiterlaufen. Die Anwendung exportiert täglich, wiederholt dabei aber nur den alten Stand; die Ursache liegt deshalb im französischen Ausgangs- oder Fakturaprozess.</t>
        </is>
      </c>
      <c r="I6" s="68" t="inlineStr">
        <is>
          <t>Frankreich gezielt fragen, warum Lieferung und Faktura am selben Tag endeten und wann der Rückstand verbucht wird. Den ersten neuen Lauf anschließend auf August-Nachbuchungen und eine plausible Belegfolge prüfen.</t>
        </is>
      </c>
      <c r="J6" s="68" t="inlineStr">
        <is>
          <t>Neue französische Fakturen fließen wieder ein und der Rückstand ist entweder nachgebucht oder von Finance ausdrücklich als nicht vorhanden bestätigt.</t>
        </is>
      </c>
    </row>
    <row r="7" ht="15" customHeight="1" s="48">
      <c r="A7" s="68" t="inlineStr">
        <is>
          <t>5</t>
        </is>
      </c>
      <c r="B7" s="68" t="inlineStr">
        <is>
          <t>Hoch, haengt an anderen</t>
        </is>
      </c>
      <c r="C7" s="68" t="inlineStr">
        <is>
          <t>Finance CH/AT</t>
        </is>
      </c>
      <c r="D7" s="68" t="inlineStr">
        <is>
          <t>ISS-003.4</t>
        </is>
      </c>
      <c r="E7" s="68" t="inlineStr">
        <is>
          <t>Herstellerregel CH/AT</t>
        </is>
      </c>
      <c r="F7" s="68" t="inlineStr">
        <is>
          <t>Andreas</t>
        </is>
      </c>
      <c r="G7" s="70" t="inlineStr">
        <is>
          <t>Wartet auf Entscheid</t>
        </is>
      </c>
      <c r="H7" s="68" t="inlineStr">
        <is>
          <t>CH/AT liefern keinen Vorlieferanten. Die Anwendung ordnet Materialien deshalb über MARC/Werk 1100 als intern beziehungsweise TR AG ein. Für rund 5’886 Zeilen gibt es zugleich einen aktiven externen Einkaufsbeleg; offen ist, ob dieser Fremdbezug die pauschale Herstellerregel brechen soll.</t>
        </is>
      </c>
      <c r="I7" s="68" t="inlineStr">
        <is>
          <t>Andreas entscheidet zwischen zwei Regeln: Herstellerregel beibehalten oder bei belegtem Fremdbezug auf extern/lokale Kosten wechseln. Dazu die Stichprobe, besonders F88103 und R13025, und den produktiven Schalter MarcForeignProcurementMode vergleichen. Keine 1’201 Materialien einzeln klassifizieren.</t>
        </is>
      </c>
      <c r="J7" s="68" t="inlineStr">
        <is>
          <t>Andreas hat die Regel schriftlich bestätigt, der entsprechende Schalter ist gesetzt und Stichproben zeigen die erwartete Kostenquelle für Eigenfertigung und Handelsware.</t>
        </is>
      </c>
    </row>
    <row r="8" ht="15" customHeight="1" s="48">
      <c r="A8" s="68" t="inlineStr">
        <is>
          <t>6</t>
        </is>
      </c>
      <c r="B8" s="68" t="inlineStr">
        <is>
          <t>Hoch, haengt an anderen</t>
        </is>
      </c>
      <c r="C8" s="68" t="inlineStr">
        <is>
          <t>Finance Gruppenmarge</t>
        </is>
      </c>
      <c r="D8" s="68" t="inlineStr">
        <is>
          <t>ISS-009</t>
        </is>
      </c>
      <c r="E8" s="68" t="inlineStr">
        <is>
          <t>Fachfreigabe Gruppenmarge</t>
        </is>
      </c>
      <c r="F8" s="68" t="inlineStr">
        <is>
          <t>Andreas</t>
        </is>
      </c>
      <c r="G8" s="71" t="inlineStr">
        <is>
          <t>Offen</t>
        </is>
      </c>
      <c r="H8" s="68" t="inlineStr">
        <is>
          <t>Die Gruppenmarge ist technisch vorhanden, bleibt aber eine Prüfsicht. Sie verwendet den Umsatz und die echten Konzern-Herstellkosten der liefernden Gesellschaft. Offene Lieferanten-, Kostenbasis- und Intercompany-Fragen können das Ergebnis noch beeinflussen.</t>
        </is>
      </c>
      <c r="I8" s="68" t="inlineStr">
        <is>
          <t>Andreas prüft anhand des Nachweisblatts Gruppenmarge Details die Klassifikation, Kostenquelle, Währung und offenen Statusfälle. Danach entweder ausdrücklich als führenden Abschlusswert freigeben oder konkrete verbleibende Vorbehalte mit Prüfkriterium nennen.</t>
        </is>
      </c>
      <c r="J8" s="68" t="inlineStr">
        <is>
          <t>Eine dokumentierte Finance-Freigabe liegt vor oder alle benannten Vorbehalte sind als eigene, messbare Folgepunkte erfasst; bis dahin bleibt die Kennzahl als Prüfsicht bezeichnet.</t>
        </is>
      </c>
    </row>
    <row r="9" ht="15" customHeight="1" s="48">
      <c r="A9" s="68" t="inlineStr">
        <is>
          <t>7</t>
        </is>
      </c>
      <c r="B9" s="68" t="inlineStr">
        <is>
          <t>Hoch, haengt an anderen</t>
        </is>
      </c>
      <c r="C9" s="68" t="inlineStr">
        <is>
          <t>Finance Abgrenzung</t>
        </is>
      </c>
      <c r="D9" s="68" t="inlineStr">
        <is>
          <t>ISS-010</t>
        </is>
      </c>
      <c r="E9" s="68" t="inlineStr">
        <is>
          <t>Innenumsatz / Doppelzählung</t>
        </is>
      </c>
      <c r="F9" s="68" t="inlineStr">
        <is>
          <t>Andreas</t>
        </is>
      </c>
      <c r="G9" s="71" t="inlineStr">
        <is>
          <t>Offen</t>
        </is>
      </c>
      <c r="H9" s="68" t="inlineStr">
        <is>
          <t>Verkauft eine Trafag-Gesellschaft an eine andere und diese anschließend an den Endkunden, erscheinen in der Summe der Standortumsätze beide Verkäufe. Das ist für eine Standort-Bruttosicht korrekt, für einen konsolidierten Konzern-Außenumsatz jedoch eine Doppelzählung.</t>
        </is>
      </c>
      <c r="I9" s="68" t="inlineStr">
        <is>
          <t>Andreas entscheidet, ob die führende KPI Standortumsätze inklusive IC oder den konsolidierten Außenumsatz zeigen soll. Falls konsolidiert: Konsolidierungskreis und 2nd Party festlegen, interne Kundennummern/Namensmarker bestätigen, Ausnahmen definieren und entscheiden, ob Ist ohne IC den Sollvergleich führt. Die einzelnen DE-/IT-Ausschlüsse dabei vereinheitlichen.</t>
        </is>
      </c>
      <c r="J9" s="68" t="inlineStr">
        <is>
          <t>Die offizielle Umsatzdefinition und der Konsolidierungskreis sind dokumentiert; Dashboard-Hauptwert, Ist ohne IC und Sollvergleich folgen derselben freigegebenen Regel.</t>
        </is>
      </c>
    </row>
    <row r="10" ht="15" customHeight="1" s="48">
      <c r="A10" s="68" t="inlineStr">
        <is>
          <t>9</t>
        </is>
      </c>
      <c r="B10" s="68" t="inlineStr">
        <is>
          <t>Heute</t>
        </is>
      </c>
      <c r="C10" s="68" t="inlineStr">
        <is>
          <t>SAP ZLO03</t>
        </is>
      </c>
      <c r="D10" s="68" t="inlineStr">
        <is>
          <t>PM-01</t>
        </is>
      </c>
      <c r="E10" s="68" t="inlineStr">
        <is>
          <t>ZLO03 Mengen und Materialien</t>
        </is>
      </c>
      <c r="F10" s="68" t="inlineStr">
        <is>
          <t>Ingo</t>
        </is>
      </c>
      <c r="G10" s="71" t="inlineStr">
        <is>
          <t>Offen</t>
        </is>
      </c>
      <c r="H10" s="68" t="inlineStr">
        <is>
          <t>Die Korrekturen für falsche Mengeninterpretation und fehlende numerische Materialien sind geschrieben, aber die produktive Transaktion ZLO03 startet ein anderes Programm. Damit sind die neuen Fixes im laufenden Prozess noch nicht wirksam.</t>
        </is>
      </c>
      <c r="I10" s="68" t="inlineStr">
        <is>
          <t>Den Diagnoselauf p_diag und den Regressionstest im tatsächlich gestarteten Programm Z_ZLO03_TURBO2 durchführen. Danach die freigegebenen Fixes in dieses Programm übernehmen beziehungsweise transportieren und auf B76 erneut gegen bekannte Fälle prüfen.</t>
        </is>
      </c>
      <c r="J10" s="68" t="inlineStr">
        <is>
          <t>ZLO03 läuft mit dem korrigierten produktiven Programm; Mengen und Materialien stimmen in der Regression und der Transport nach B76 ist nachgewiesen.</t>
        </is>
      </c>
    </row>
    <row r="11" ht="15" customHeight="1" s="48">
      <c r="A11" s="68" t="inlineStr">
        <is>
          <t>10</t>
        </is>
      </c>
      <c r="B11" s="68" t="inlineStr">
        <is>
          <t>Heute</t>
        </is>
      </c>
      <c r="C11" s="68" t="inlineStr">
        <is>
          <t>SAP ZLO03</t>
        </is>
      </c>
      <c r="D11" s="68" t="inlineStr">
        <is>
          <t>PM-01</t>
        </is>
      </c>
      <c r="E11" s="68" t="inlineStr">
        <is>
          <t>ZLO03 Kommunikationspflicht</t>
        </is>
      </c>
      <c r="F11" s="68" t="inlineStr">
        <is>
          <t>Ingo</t>
        </is>
      </c>
      <c r="G11" s="71" t="inlineStr">
        <is>
          <t>Offen</t>
        </is>
      </c>
      <c r="H11" s="68" t="inlineStr">
        <is>
          <t>Die Spalte Exklusiv erhält künftig neben leer und X auch den Wert ?. Er bedeutet, dass die Exklusivität mit den vorhandenen Daten nicht sicher entschieden werden kann. Eine Fehlinterpretation als X könnte zur Kündigung eines noch benötigten Mengenkontrakts führen.</t>
        </is>
      </c>
      <c r="I11" s="68" t="inlineStr">
        <is>
          <t>Ann-Katrin Michel vor dem produktiven Einsatz über den dritten Wert, seine Bedeutung und das richtige Vorgehen bei ? informieren. Die Information soll vor der nächsten operativen Auswertung erfolgen.</t>
        </is>
      </c>
      <c r="J11" s="68" t="inlineStr">
        <is>
          <t>Ann-Katrin hat die Änderung bestätigt und weiß, dass ? manuell geprüft werden muss und nicht wie X behandelt werden darf.</t>
        </is>
      </c>
    </row>
    <row r="12" ht="15" customHeight="1" s="48">
      <c r="A12" s="68" t="inlineStr">
        <is>
          <t>12</t>
        </is>
      </c>
      <c r="B12" s="68" t="inlineStr">
        <is>
          <t>Heute</t>
        </is>
      </c>
      <c r="C12" s="68" t="inlineStr">
        <is>
          <t>SAP ZZPRDAT</t>
        </is>
      </c>
      <c r="D12" s="68" t="inlineStr">
        <is>
          <t>PM-03</t>
        </is>
      </c>
      <c r="E12" s="68" t="inlineStr">
        <is>
          <t>ZZPRDAT Abnahme einholen</t>
        </is>
      </c>
      <c r="F12" s="68" t="inlineStr">
        <is>
          <t>Ingo</t>
        </is>
      </c>
      <c r="G12" s="71" t="inlineStr">
        <is>
          <t>Läuft</t>
        </is>
      </c>
      <c r="H12" s="68" t="inlineStr">
        <is>
          <t>Die Lösung ist am 03. und 04.09.2026 gebaut, im Paket ZPP1 und im Transportauftrag T76K912490 abgelegt und auf sieben Wegen nachgetestet. Trigger und Quellfeld GLTRP sind geklärt. Offen ist nur noch die fachliche Abnahme; der Auftrag bleibt bis dahin bewusst unfreigegeben, damit der Fachbereich genau die Objekte abnimmt, die später ausgeliefert werden.</t>
        </is>
      </c>
      <c r="I12" s="68" t="inlineStr">
        <is>
          <t>Das Anschreiben liegt als Outlook-Entwurf mit Betreff und angehängtem Lösungsdokument. Vor dem Versand die Empfängeradressen eintragen (für Lucas Castro, Florian Wächter, Marco Di Menco und Fabio Palma in docs/ANSPRECHPARTNER.md nicht hinterlegt) und den Text aus docs/ZZPRDAT_Mail_Abnahme_2026-09-04.html hineinkopieren, weil Outlook an diesem Arbeitsplatz jede Zuweisung an den Nachrichtentext verwirft.</t>
        </is>
      </c>
      <c r="J12" s="68" t="inlineStr">
        <is>
          <t>Die fachliche Abnahme liegt schriftlich vor und Marco hat bestätigt, ob Etikett und Typenschild dasselbe Feld verwenden. Erst danach wird der Auftrag freigegeben; das Nachfüllen der Altbestände ist ein eigener, später zu entscheidender Schritt.</t>
        </is>
      </c>
    </row>
    <row r="13" ht="15" customHeight="1" s="48">
      <c r="A13" s="68" t="inlineStr">
        <is>
          <t>13</t>
        </is>
      </c>
      <c r="B13" s="68" t="inlineStr">
        <is>
          <t>Umsetzung</t>
        </is>
      </c>
      <c r="C13" s="68" t="inlineStr">
        <is>
          <t>Finance DE/ES</t>
        </is>
      </c>
      <c r="D13" s="68" t="inlineStr">
        <is>
          <t>ISS-003.3</t>
        </is>
      </c>
      <c r="E13" s="68" t="inlineStr">
        <is>
          <t>DE/ES ohne Lieferantenfelder</t>
        </is>
      </c>
      <c r="F13" s="68" t="inlineStr">
        <is>
          <t>Ingo</t>
        </is>
      </c>
      <c r="G13" s="71" t="inlineStr">
        <is>
          <t>Offen</t>
        </is>
      </c>
      <c r="H13" s="68" t="inlineStr">
        <is>
          <t>Deutschland und Spanien zeigen in allen Lieferantenfeldern 0 %. Das kann eine echte Quelllücke sein, aber UK hat gezeigt, dass vorhandene Lieferantenspalten auch nur im eigenen Mapping fehlen können. Eine vorschnelle Standortanfrage würde deshalb möglicherweise unnötige Pflege auslösen.</t>
        </is>
      </c>
      <c r="I13" s="68" t="inlineStr">
        <is>
          <t>Für DE und ES zuerst Export-SQL, Rohdatei und Import-Mapping spaltenweise vergleichen. Nur wenn die Quelle das Feld tatsächlich nicht liefert, mit einem konkreten Feldbedarf an den jeweiligen Standort gehen.</t>
        </is>
      </c>
      <c r="J13" s="68" t="inlineStr">
        <is>
          <t>Für beide Länder ist belegt, ob die Information in der Quelle existiert; vorhandene Felder sind gemappt oder eine echte Quelllücke ist mit Ansprechpartner und vereinbartem nächsten Schritt dokumentiert.</t>
        </is>
      </c>
    </row>
    <row r="14" ht="15" customHeight="1" s="48">
      <c r="A14" s="68" t="inlineStr">
        <is>
          <t>15</t>
        </is>
      </c>
      <c r="B14" s="68" t="inlineStr">
        <is>
          <t>Umsetzung</t>
        </is>
      </c>
      <c r="C14" s="68" t="inlineStr">
        <is>
          <t>Finance CH/AT</t>
        </is>
      </c>
      <c r="D14" s="68" t="inlineStr">
        <is>
          <t>ISS-006</t>
        </is>
      </c>
      <c r="E14" s="68" t="inlineStr">
        <is>
          <t>CH/AT Journal, SAP-Set aktivieren</t>
        </is>
      </c>
      <c r="F14" s="68" t="inlineStr">
        <is>
          <t>SAP / Ingo</t>
        </is>
      </c>
      <c r="G14" s="71" t="inlineStr">
        <is>
          <t>Offen</t>
        </is>
      </c>
      <c r="H14" s="68" t="inlineStr">
        <is>
          <t>Das CH/AT-Journal ist in der Anwendung vorbereitet, erhält aber ohne das SAP-OData-EntitySet FinanzJournalSet keine Daten. Die Spezifikation ist vorhanden; offen ist nur die Aktivierung im SAP-System.</t>
        </is>
      </c>
      <c r="I14" s="68" t="inlineStr">
        <is>
          <t>EntitySet in SAP aktivieren. Anschließend produktives $metadata und mindestens eine echte Datenantwort prüfen, danach einen Journal-Import und die Anzeige für CH/AT kontrollieren.</t>
        </is>
      </c>
      <c r="J14" s="68" t="inlineStr">
        <is>
          <t>FinanzJournalSet liefert produktiv HTTP 200 mit den erwarteten Feldern und das CH/AT-Journal zeigt einen erfolgreich importierten, plausiblen Datenbestand.</t>
        </is>
      </c>
    </row>
    <row r="15" ht="15" customHeight="1" s="48">
      <c r="A15" s="68" t="inlineStr">
        <is>
          <t>16</t>
        </is>
      </c>
      <c r="B15" s="68" t="inlineStr">
        <is>
          <t>Umsetzung</t>
        </is>
      </c>
      <c r="C15" s="68" t="inlineStr">
        <is>
          <t>Einkauf</t>
        </is>
      </c>
      <c r="D15" s="68" t="inlineStr">
        <is>
          <t>PM-04</t>
        </is>
      </c>
      <c r="E15" s="68" t="inlineStr">
        <is>
          <t>Einkauf Restpunkte SAP</t>
        </is>
      </c>
      <c r="F15" s="68" t="inlineStr">
        <is>
          <t>Ingo</t>
        </is>
      </c>
      <c r="G15" s="71" t="inlineStr">
        <is>
          <t>Offen</t>
        </is>
      </c>
      <c r="H15" s="68" t="inlineStr">
        <is>
          <t>Die SAP-basierte Produktgruppenlogik im Einkaufsdashboard läuft produktiv. Zwei nicht blockierende Stammdaten-/Metadatenpunkte bleiben: D1 und D5 haben keinen Text, und DISPO ist allein kein eindeutiger Schlüssel.</t>
        </is>
      </c>
      <c r="I15" s="68" t="inlineStr">
        <is>
          <t>Texte für D1/D5 in ZDISPO_SPART pflegen und den SEGW-Schlüssel von ZDISPO_GRP auf DISPO_KZ plus DISPO erweitern. Danach Metadaten, OData-Antwort und Delta-Lauf prüfen.</t>
        </is>
      </c>
      <c r="J15" s="68" t="inlineStr">
        <is>
          <t>D1/D5 werden mit Text angezeigt, der zusammengesetzte Schlüssel ist im produktiven Metadata sichtbar und alle Gruppen werden ohne Überschreiben oder Duplikate geladen.</t>
        </is>
      </c>
    </row>
    <row r="16" ht="15" customHeight="1" s="48">
      <c r="A16" s="68" t="inlineStr">
        <is>
          <t>17</t>
        </is>
      </c>
      <c r="B16" s="68" t="inlineStr">
        <is>
          <t>Umsetzung</t>
        </is>
      </c>
      <c r="C16" s="68" t="inlineStr">
        <is>
          <t>Marktsegmente</t>
        </is>
      </c>
      <c r="D16" s="68" t="inlineStr">
        <is>
          <t>-</t>
        </is>
      </c>
      <c r="E16" s="68" t="inlineStr">
        <is>
          <t>Sichtprüfläufe produktiv nachholen</t>
        </is>
      </c>
      <c r="F16" s="68" t="inlineStr">
        <is>
          <t>Ingo</t>
        </is>
      </c>
      <c r="G16" s="71" t="inlineStr">
        <is>
          <t>Offen</t>
        </is>
      </c>
      <c r="H16" s="68" t="inlineStr">
        <is>
          <t>Drei bereits produktiv ausgelieferte Marktsegment-Funktionen wurden technisch geprüft, aber noch nicht von einem Anwender im Browser abgenommen: Segmentanzeige, Marktumfrage und Jahresfilter.</t>
        </is>
      </c>
      <c r="I16" s="68" t="inlineStr">
        <is>
          <t>Die drei Funktionen im produktiven System mit realistischen Filtern öffnen, Werte und Navigation plausibilisieren und auffällige Abweichungen mit Screenshot beziehungsweise konkretem Datensatz notieren.</t>
        </is>
      </c>
      <c r="J16" s="68" t="inlineStr">
        <is>
          <t>Alle drei Sichtprüfläufe sind dokumentiert bestanden oder gefundene Fehler wurden als eigene Punkte mit Reproduktionsschritten erfasst.</t>
        </is>
      </c>
    </row>
    <row r="17" ht="15" customHeight="1" s="48">
      <c r="A17" s="68" t="inlineStr">
        <is>
          <t>19</t>
        </is>
      </c>
      <c r="B17" s="68" t="inlineStr">
        <is>
          <t>Nur terminieren</t>
        </is>
      </c>
      <c r="C17" s="68" t="inlineStr">
        <is>
          <t>Finance IT</t>
        </is>
      </c>
      <c r="D17" s="68" t="inlineStr">
        <is>
          <t>ISS-007.1</t>
        </is>
      </c>
      <c r="E17" s="68" t="inlineStr">
        <is>
          <t>TR IT Moving Average: technisch nicht umstellbar</t>
        </is>
      </c>
      <c r="F17" s="68" t="inlineStr">
        <is>
          <t>Andreas / Ingo</t>
        </is>
      </c>
      <c r="G17" s="71" t="inlineStr">
        <is>
          <t>Wartet auf Entscheid</t>
        </is>
      </c>
      <c r="H17" s="68" t="inlineStr">
        <is>
          <t>Paola Castagna hat am 04.09.2026 geantwortet: die Bewertungsmethode eines bestehenden B1-Artikels lässt sich nicht mehr ändern, weder als Massenupdate noch artikelweise. Eine Angleichung an die Konzernvorgabe ginge nur als Neucodierungsprojekt über rund 31'600 Artikel, samt neuer technischer Zeichnungen bei allen Lieferanten. Eine Kostenschätzung liegt nicht vor.</t>
        </is>
      </c>
      <c r="I17" s="68" t="inlineStr">
        <is>
          <t>Andreas beurteilt, wie notwendig und dringend die Angleichung aus Konzernsicht ist. Parallel die Wirkung auf die Intercompany-Artikel von Trafag und Industrial Components mit Lucas Castro bewerten. Das Reporting ist nicht betroffen, weil INV1.StockPrice auf Belegebene unabhängig von der Bewertungsmethode arbeitet.</t>
        </is>
      </c>
      <c r="J17" s="68" t="inlineStr">
        <is>
          <t>Andreas hat entschieden, ob das Neucodierungsprojekt verfolgt wird; bei Ja liegt eine Kostenschätzung aus Italien vor, bei Nein ist die Abweichung von der Konzernvorgabe schriftlich akzeptiert.</t>
        </is>
      </c>
    </row>
    <row r="18" ht="15" customHeight="1" s="48">
      <c r="A18" s="68" t="inlineStr">
        <is>
          <t>21</t>
        </is>
      </c>
      <c r="B18" s="68" t="inlineStr">
        <is>
          <t>Nur terminieren</t>
        </is>
      </c>
      <c r="C18" s="68" t="inlineStr">
        <is>
          <t>Finance Reporting</t>
        </is>
      </c>
      <c r="D18" s="68" t="inlineStr">
        <is>
          <t>ISS-008</t>
        </is>
      </c>
      <c r="E18" s="68" t="inlineStr">
        <is>
          <t>Budget-CHF als Reportinggrösse</t>
        </is>
      </c>
      <c r="F18" s="68" t="inlineStr">
        <is>
          <t>Finance / Andreas</t>
        </is>
      </c>
      <c r="G18" s="71" t="inlineStr">
        <is>
          <t>Offen</t>
        </is>
      </c>
      <c r="H18" s="68" t="inlineStr">
        <is>
          <t>Budget-CHF soll eine zusätzliche Kontrollsicht sein und die führenden Local-Currency-Werte nicht ersetzen. Offen sind die verbindlichen Jahreskurse und deren Freigabe, Pflegeverantwortung, Spaltenumfang, Verhalten bei fehlenden Kursen, Rundung und Anzeigeort.</t>
        </is>
      </c>
      <c r="I18" s="68" t="inlineStr">
        <is>
          <t>Finance bestätigt die Budgetkurse 2025/2026 und den Owner, wählt die sichtbaren Excel-/Dashboard-Spalten, legt das Fehlkursverhalten und die Rundung fest und bestimmt die Ansichten. Zusätzlich DE-Jahreswechsel und gewünschten Kontrollnachweis klären.</t>
        </is>
      </c>
      <c r="J18" s="68" t="inlineStr">
        <is>
          <t>Ein freigegebener Beschluss mit Kursen, Owner, Pflegeprozess, Fehlkursregel, Rundung und Anzeigeorten liegt vor; erst dann wird die Reporting-Sicht umgesetzt beziehungsweise abgenommen.</t>
        </is>
      </c>
    </row>
    <row r="19" ht="15" customHeight="1" s="48">
      <c r="A19" s="68" t="inlineStr">
        <is>
          <t>22</t>
        </is>
      </c>
      <c r="B19" s="68" t="inlineStr">
        <is>
          <t>Nur terminieren</t>
        </is>
      </c>
      <c r="C19" s="68" t="inlineStr">
        <is>
          <t>HR</t>
        </is>
      </c>
      <c r="D19" s="68" t="inlineStr">
        <is>
          <t>PM-07</t>
        </is>
      </c>
      <c r="E19" s="68" t="inlineStr">
        <is>
          <t>REXX automatische Auswertung</t>
        </is>
      </c>
      <c r="F19" s="68" t="inlineStr">
        <is>
          <t>Ingo</t>
        </is>
      </c>
      <c r="G19" s="70" t="inlineStr">
        <is>
          <t>Wartet auf externe Firma</t>
        </is>
      </c>
      <c r="H19" s="68" t="inlineStr">
        <is>
          <t>Das HR-Cockpit verarbeitet bisher einen einmaligen manuellen REXX-Datenstand. Eine externe Firma baut einen periodischen Exporter; ohne dessen Ablagepfad, Format und Frequenz kann die automatische Auswertung nicht belastbar angebunden werden.</t>
        </is>
      </c>
      <c r="I19" s="68" t="inlineStr">
        <is>
          <t>Fertigstellung des externen Exporters abwarten und danach Schnittstelle, Dateinamensschema, Format, Aktualisierungsrhythmus, Datenschutz/Berechtigungen und Fehlerverhalten dokumentieren. Anschließend Import und Aktualisierung planen.</t>
        </is>
      </c>
      <c r="J19" s="68" t="inlineStr">
        <is>
          <t>Ein stabiler Testexport samt Schnittstellenbeschreibung liegt vor und das HR-Cockpit verarbeitet einen neuen Lauf automatisch mit plausibler Aktualisierungs- und Fehleranzeige.</t>
        </is>
      </c>
    </row>
    <row r="20" ht="15" customHeight="1" s="48">
      <c r="A20" s="68" t="inlineStr">
        <is>
          <t>23</t>
        </is>
      </c>
      <c r="B20" s="68" t="inlineStr">
        <is>
          <t>Heute</t>
        </is>
      </c>
      <c r="C20" s="68" t="inlineStr">
        <is>
          <t>Einkauf</t>
        </is>
      </c>
      <c r="D20" s="68" t="inlineStr">
        <is>
          <t>-</t>
        </is>
      </c>
      <c r="E20" s="68" t="inlineStr">
        <is>
          <t>Lagerwert Einkaufsteile</t>
        </is>
      </c>
      <c r="F20" s="68" t="inlineStr">
        <is>
          <t>Ingo</t>
        </is>
      </c>
      <c r="G20" s="72" t="inlineStr">
        <is>
          <t>Teil umgesetzt, Nachweis offen</t>
        </is>
      </c>
      <c r="H20" s="68" t="inlineStr">
        <is>
          <t>Der Lagerwert für Einkaufsteile ist technisch teilweise umgesetzt und nutzt die Disponenten 001 bis 005. Die Zahl ist noch nicht fachlich freigegeben, weil der Abgleich gegen SAP MB5L und der vollständige produktive Datenlauf fehlen.</t>
        </is>
      </c>
      <c r="I20" s="68" t="inlineStr">
        <is>
          <t>MB5L für denselben Stichtag und Bewertungsumfang gegen die Dashboard-Summe abgleichen. Danach den serverseitigen Einkauf-Lauf ausführen und die Kette SAP-Quelle, Cache und Anzeige mit Summen und Zeitstempeln nachweisen.</t>
        </is>
      </c>
      <c r="J20" s="68" t="inlineStr">
        <is>
          <t>MB5L und Dashboard stimmen für den vereinbarten Umfang nachvollziehbar überein und ein erfolgreicher produktiver Lauf belegt die vollständige Datenkette.</t>
        </is>
      </c>
    </row>
    <row r="21" ht="15" customHeight="1" s="48">
      <c r="A21" s="68" t="inlineStr">
        <is>
          <t>24</t>
        </is>
      </c>
      <c r="B21" s="68" t="inlineStr">
        <is>
          <t>Heute</t>
        </is>
      </c>
      <c r="C21" s="68" t="inlineStr">
        <is>
          <t>Railway</t>
        </is>
      </c>
      <c r="D21" s="68" t="inlineStr">
        <is>
          <t>PM-08</t>
        </is>
      </c>
      <c r="E21" s="68" t="inlineStr">
        <is>
          <t>Railway Kundenname Deutschland</t>
        </is>
      </c>
      <c r="F21" s="68" t="inlineStr">
        <is>
          <t>Ingo</t>
        </is>
      </c>
      <c r="G21" s="69" t="inlineStr">
        <is>
          <t>Blockiert</t>
        </is>
      </c>
      <c r="H21" s="68" t="inlineStr">
        <is>
          <t>Alle deutschen Verkaufszeilen enthalten Kundennummern, aber weder Kundenname noch Kundenland. Dadurch kann das Railway-Segment für Deutschland nicht über die Marktumfrage zugeordnet werden; eine Null im Export wäre irreführend.</t>
        </is>
      </c>
      <c r="I21" s="68" t="inlineStr">
        <is>
          <t>Auf dem Alphaplan-System einen read-only INFORMATION_SCHEMA-Auszug für Adress-, Kunden- und Rechnungsbezug holen. Danach die reale Beziehung von RechnungsAdressenID zum Kundennamen in der eigenen Export-SQL ergänzen; keine Tabellen- oder Feldnamen raten.</t>
        </is>
      </c>
      <c r="J21" s="68" t="inlineStr">
        <is>
          <t>TRDE liefert Kundennamen, der Railway-Abgleich erzeugt deutsche Vorschläge und Stichproben verbinden Kundennummer, Name und Umsatz korrekt.</t>
        </is>
      </c>
    </row>
    <row r="22" ht="15" customHeight="1" s="48">
      <c r="A22" s="68" t="inlineStr">
        <is>
          <t>25</t>
        </is>
      </c>
      <c r="B22" s="68" t="inlineStr">
        <is>
          <t>Heute</t>
        </is>
      </c>
      <c r="C22" s="68" t="inlineStr">
        <is>
          <t>Railway</t>
        </is>
      </c>
      <c r="D22" s="68" t="inlineStr">
        <is>
          <t>PM-08</t>
        </is>
      </c>
      <c r="E22" s="68" t="inlineStr">
        <is>
          <t>Railway Zuordnung prüfen lassen</t>
        </is>
      </c>
      <c r="F22" s="68" t="inlineStr">
        <is>
          <t>Patrik</t>
        </is>
      </c>
      <c r="G22" s="71" t="inlineStr">
        <is>
          <t>Offen</t>
        </is>
      </c>
      <c r="H22" s="68" t="inlineStr">
        <is>
          <t>Die Anwendung hat 173 Railway-Kundenvorschläge erzeugt, aber noch keiner ist fachlich bestätigt. Unbestätigte Vorschläge fließen bewusst nicht in den Umsatz ein; besonders breit tätige Kunden wie Siemens benötigen Vertriebswissen.</t>
        </is>
      </c>
      <c r="I22" s="68" t="inlineStr">
        <is>
          <t>Patrik prüft zuerst die 30 mengenstärksten Vorschläge, bestätigt oder verwirft sie und entscheidet Zweifelsfälle anhand der tatsächlichen Kundenanwendung. Alternativ pflegt er die Zuordnung direkt selbst.</t>
        </is>
      </c>
      <c r="J22" s="68" t="inlineStr">
        <is>
          <t>Die priorisierten Vorschläge sind fachlich bewertet und die bestätigten Kunden erscheinen mit nachvollziehbarem Railway-Umsatz im Ergebnis.</t>
        </is>
      </c>
    </row>
    <row r="23" ht="15" customHeight="1" s="48">
      <c r="A23" s="68" t="inlineStr">
        <is>
          <t>26</t>
        </is>
      </c>
      <c r="B23" s="68" t="inlineStr">
        <is>
          <t>Nur terminieren</t>
        </is>
      </c>
      <c r="C23" s="68" t="inlineStr">
        <is>
          <t>Railway</t>
        </is>
      </c>
      <c r="D23" s="68" t="inlineStr">
        <is>
          <t>PM-08</t>
        </is>
      </c>
      <c r="E23" s="68" t="inlineStr">
        <is>
          <t>Railway Export für Rohail Munir</t>
        </is>
      </c>
      <c r="F23" s="68" t="inlineStr">
        <is>
          <t>Ingo</t>
        </is>
      </c>
      <c r="G23" s="70" t="inlineStr">
        <is>
          <t>Wartet auf andere</t>
        </is>
      </c>
      <c r="H23" s="68" t="inlineStr">
        <is>
          <t>Rohail Munir benötigt den Railway-Export bis 08.09.2026. Das Exportwerkzeug ist produktiv, aber ohne bestätigte Kundenzuordnungen bleibt das Ergebnis leer; Deutschland ist zusätzlich wegen fehlender Kundennamen blockiert.</t>
        </is>
      </c>
      <c r="I23" s="68" t="inlineStr">
        <is>
          <t>Nach Patriks Bestätigung den Excel-Export erzeugen und die Summen je Land prüfen. Falls Deutschland bis zum Termin nicht lösbar ist, die Lücke sichtbar im Export und in der Übergabe benennen statt still null Umsatz auszuweisen.</t>
        </is>
      </c>
      <c r="J23" s="68" t="inlineStr">
        <is>
          <t>Rohail erhält bis zum Termin eine geprüfte Datei mit bestätigten Zuordnungen und einem transparenten Hinweis zu jeder verbleibenden Datenlücke, insbesondere Deutschland.</t>
        </is>
      </c>
    </row>
    <row r="24" ht="15" customHeight="1" s="48">
      <c r="A24" s="68" t="inlineStr">
        <is>
          <t>28</t>
        </is>
      </c>
      <c r="B24" s="68" t="inlineStr">
        <is>
          <t>Umsetzung</t>
        </is>
      </c>
      <c r="C24" s="68" t="inlineStr">
        <is>
          <t>Finance Standardkosten</t>
        </is>
      </c>
      <c r="D24" s="68" t="inlineStr">
        <is>
          <t>-</t>
        </is>
      </c>
      <c r="E24" s="68" t="inlineStr">
        <is>
          <t>Arbeitsmappe Standortkosten auf den Sitzungsstand bringen</t>
        </is>
      </c>
      <c r="F24" s="68" t="inlineStr">
        <is>
          <t>Ingo</t>
        </is>
      </c>
      <c r="G24" s="71" t="inlineStr">
        <is>
          <t>Offen</t>
        </is>
      </c>
      <c r="H24" s="68" t="inlineStr">
        <is>
          <t>Die Arbeitsmappe zur Standortkostenlogik entspricht noch nicht vollständig dem in der Sitzung bestätigten Ablauf. Sales Type, der Weg ohne Lieferant und die Währungsbehandlung sind darin nicht an der richtigen Stelle beziehungsweise fehlen.</t>
        </is>
      </c>
      <c r="I24" s="68" t="inlineStr">
        <is>
          <t>Sales Type in den oberen Entscheidungsblock verschieben, den Zweig ohne Lieferant und die Währungszeile ergänzen und gegen das aktuelle Workflow-SVG prüfen. Danach Sales_All neu erzeugen und Beispiele gegen Gruppenmarge Details vergleichen.</t>
        </is>
      </c>
      <c r="J24" s="68" t="inlineStr">
        <is>
          <t>Arbeitsmappe, Workflow-SVG und produktive Logik zeigen dieselbe Regelkette; ein neu erzeugtes Sales_All bestätigt die Beispiele ohne Widerspruch.</t>
        </is>
      </c>
    </row>
    <row r="25" ht="15" customHeight="1" s="48">
      <c r="A25" s="68" t="inlineStr">
        <is>
          <t>29</t>
        </is>
      </c>
      <c r="B25" s="68" t="inlineStr">
        <is>
          <t>Heute</t>
        </is>
      </c>
      <c r="C25" s="68" t="inlineStr">
        <is>
          <t>Finance Gruppenmarge</t>
        </is>
      </c>
      <c r="D25" s="68" t="inlineStr">
        <is>
          <t>-</t>
        </is>
      </c>
      <c r="E25" s="68" t="inlineStr">
        <is>
          <t>Schutz gegen Marge auf Verrechnungspreis greift nur bei Sales Type LRD</t>
        </is>
      </c>
      <c r="F25" s="68" t="inlineStr">
        <is>
          <t>Andreas / Ingo</t>
        </is>
      </c>
      <c r="G25" s="71" t="inlineStr">
        <is>
          <t>Offen</t>
        </is>
      </c>
      <c r="H25" s="68" t="inlineStr">
        <is>
          <t>Der Schutz vor einer Marge auf einem internen Verrechnungspreis greift derzeit nur bei Sales Type LRD. Wird eine liefernde Konzerngesellschaft über Supplier erkannt, aber kein Konzernkostensatz gefunden, kann die Logik trotzdem auf lokale Standardkosten zurückfallen und eine scheinbare Marge anzeigen.</t>
        </is>
      </c>
      <c r="I25" s="68" t="inlineStr">
        <is>
          <t>Zuerst in der Produktivdatenbank messen, wie viele der maximal 19’221 Kandidaten tatsächlich keinen Konzernkostentreffer haben. Andreas entscheidet danach, ob der Schutz auf jede erkannte Konzerngesellschaft erweitert wird und wie ein positiver Kostensatz von einem fehlenden beziehungsweise null Kostensatz unterschieden wird.</t>
        </is>
      </c>
      <c r="J25" s="68" t="inlineStr">
        <is>
          <t>Die echte Fallzahl ist belegt, Andreas hat die Schutzregel freigegeben und Tests zeigen, dass kein interner Verrechnungspreis unbemerkt als lokale Herstellkostenbasis verwendet wird.</t>
        </is>
      </c>
    </row>
    <row r="26" ht="15" customHeight="1" s="48">
      <c r="A26" s="68" t="inlineStr">
        <is>
          <t>30</t>
        </is>
      </c>
      <c r="B26" s="68" t="inlineStr">
        <is>
          <t>Umsetzung</t>
        </is>
      </c>
      <c r="C26" s="68" t="inlineStr">
        <is>
          <t>Finance Standardkosten</t>
        </is>
      </c>
      <c r="D26" s="68" t="inlineStr">
        <is>
          <t>-</t>
        </is>
      </c>
      <c r="E26" s="68" t="inlineStr">
        <is>
          <t>Schalter Schweizer STPRS: Beschriftung und Code stimmen nicht überein</t>
        </is>
      </c>
      <c r="F26" s="68" t="inlineStr">
        <is>
          <t>Ingo / Andreas</t>
        </is>
      </c>
      <c r="G26" s="71" t="inlineStr">
        <is>
          <t>Offen</t>
        </is>
      </c>
      <c r="H26" s="68" t="inlineStr">
        <is>
          <t>Der Schaltertext versprach Schweizer STPRS nur bei internem Lieferanten, während die frühere Codebedingung auch Zeilen ohne erkannte liefernde Gesellschaft erfassen konnte. Die enge Korrektur ist seit 02.09.2026 produktiv: Schweizer STPRS greift nur noch, wenn bereits eine liefernde Konzerngesellschaft erkannt wurde.</t>
        </is>
      </c>
      <c r="I26" s="68" t="inlineStr">
        <is>
          <t>Mit Andreas bestätigen, ob diese enge, zur Beschriftung passende Regel endgültig gewollt ist oder ob bewusst eine breitere MARC-1100-Regel für externe/lokale Fälle benötigt wird. Bei Bestätigung den Punkt schließen; eine breitere Variante wäre ein eigener Modus mit neuer Beschriftung.</t>
        </is>
      </c>
      <c r="J26" s="68" t="inlineStr">
        <is>
          <t>Andreas hat die enge Regel bestätigt oder einen getrennten breiten Modus beauftragt; Schaltertext, Dokumentation und produktives Verhalten sind damit fachlich eindeutig.</t>
        </is>
      </c>
    </row>
    <row r="27" ht="15" customHeight="1" s="48">
      <c r="A27" s="68" t="inlineStr">
        <is>
          <t>31</t>
        </is>
      </c>
      <c r="B27" s="68" t="inlineStr">
        <is>
          <t>Nur terminieren</t>
        </is>
      </c>
      <c r="C27" s="68" t="inlineStr">
        <is>
          <t>Finance IN</t>
        </is>
      </c>
      <c r="D27" s="68" t="inlineStr">
        <is>
          <t>-</t>
        </is>
      </c>
      <c r="E27" s="68" t="inlineStr">
        <is>
          <t>41 Zeilen mit Sales Type FFM und Fremdlieferant Cenlub Systems</t>
        </is>
      </c>
      <c r="F27" s="68" t="inlineStr">
        <is>
          <t>Ingo / Indien</t>
        </is>
      </c>
      <c r="G27" s="71" t="inlineStr">
        <is>
          <t>Offen</t>
        </is>
      </c>
      <c r="H27" s="68" t="inlineStr">
        <is>
          <t>41 Verkaufszeilen sind widersprüchlich klassifiziert: Sales Type FFM sagt Eigenfertigung, gleichzeitig ist Cenlub Systems als externer Lieferant eingetragen. Alle Konflikte betreffen denselben Lieferanten und sind daher gezielt prüfbar.</t>
        </is>
      </c>
      <c r="I27" s="68" t="inlineStr">
        <is>
          <t>Indien anhand der betroffenen Artikel bestätigen lassen, ob es Eigenfertigung mit historisch/falsch gepflegtem Preferred Vendor oder echte Fremdbeschaffung mit falschem Sales Type ist. Danach das falsche Stammfeld korrigieren und neu exportieren.</t>
        </is>
      </c>
      <c r="J27" s="68" t="inlineStr">
        <is>
          <t>Indien hat die Artikel fachlich eingeordnet, der widersprüchliche Stammwert ist korrigiert und der nächste Export zeigt keine ungeklärten FFM/Cenlub-Konflikte mehr.</t>
        </is>
      </c>
    </row>
    <row r="28" ht="15" customHeight="1" s="48"/>
  </sheetData>
  <mergeCells count="2">
    <mergeCell ref="A1:J1"/>
    <mergeCell ref="A2:J2"/>
  </mergeCells>
  <printOptions horizontalCentered="0" verticalCentered="0" headings="0" gridLines="0"/>
  <pageMargins left="0.3" right="0.3" top="0.4" bottom="0.4" header="0.5" footer="0.75"/>
  <pageSetup orientation="landscape" paperSize="1" fitToHeight="0" pageOrder="downThenOver" blackAndWhite="0" draft="0" errors="displayed"/>
  <headerFooter differentOddEven="0" differentFirst="0" scaleWithDoc="1" alignWithMargins="1">
    <oddHeader/>
    <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2F5597"/>
    <outlinePr summaryBelow="1" summaryRight="1"/>
    <pageSetUpPr fitToPage="1"/>
  </sheetPr>
  <dimension ref="A1:E35"/>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25" t="inlineStr">
        <is>
          <t>Projektauftrag  ·  eine Seite</t>
        </is>
      </c>
    </row>
    <row r="2" ht="28" customHeight="1" s="48">
      <c r="A2" s="126" t="inlineStr">
        <is>
          <t>Für Vorhaben und Projekte nach HERMES (ab ca. 5 Personentage). Mit der Unterschrift des Auftraggebers ist der Entscheidungspunkt ① Freigabe erreicht.</t>
        </is>
      </c>
    </row>
    <row r="4">
      <c r="A4" s="127" t="inlineStr">
        <is>
          <t>Vorhaben</t>
        </is>
      </c>
      <c r="B4" s="134" t="n"/>
      <c r="C4" s="134" t="n"/>
      <c r="D4" s="134" t="n"/>
      <c r="E4" s="134" t="n"/>
    </row>
    <row r="5" ht="22" customHeight="1" s="48">
      <c r="A5" s="128" t="inlineStr">
        <is>
          <t>Bezeichnung und ID</t>
        </is>
      </c>
      <c r="B5" s="129" t="n"/>
      <c r="C5" s="130" t="n"/>
      <c r="D5" s="130" t="n"/>
      <c r="E5" s="130" t="n"/>
    </row>
    <row r="6" ht="22" customHeight="1" s="48">
      <c r="A6" s="128" t="inlineStr">
        <is>
          <t>HERMES-Stufe</t>
        </is>
      </c>
      <c r="B6" s="129" t="n"/>
      <c r="C6" s="130" t="n"/>
      <c r="D6" s="130" t="n"/>
      <c r="E6" s="130" t="n"/>
    </row>
    <row r="7" ht="22" customHeight="1" s="48">
      <c r="A7" s="128" t="inlineStr">
        <is>
          <t>Grober Aufwand (Personentage)</t>
        </is>
      </c>
      <c r="B7" s="129" t="n"/>
      <c r="C7" s="130" t="n"/>
      <c r="D7" s="130" t="n"/>
      <c r="E7" s="130" t="n"/>
    </row>
    <row r="9">
      <c r="A9" s="127" t="inlineStr">
        <is>
          <t>Inhalt</t>
        </is>
      </c>
      <c r="B9" s="134" t="n"/>
      <c r="C9" s="134" t="n"/>
      <c r="D9" s="134" t="n"/>
      <c r="E9" s="134" t="n"/>
    </row>
    <row r="10" ht="60" customHeight="1" s="48">
      <c r="A10" s="128" t="inlineStr">
        <is>
          <t>Ausgangslage</t>
        </is>
      </c>
      <c r="B10" s="129" t="n"/>
      <c r="C10" s="130" t="n"/>
      <c r="D10" s="130" t="n"/>
      <c r="E10" s="130" t="n"/>
    </row>
    <row r="11" ht="45" customHeight="1" s="48">
      <c r="A11" s="128" t="inlineStr">
        <is>
          <t>Ziel</t>
        </is>
      </c>
      <c r="B11" s="129" t="n"/>
      <c r="C11" s="130" t="n"/>
      <c r="D11" s="130" t="n"/>
      <c r="E11" s="130" t="n"/>
    </row>
    <row r="12" ht="30" customHeight="1" s="48">
      <c r="A12" s="128" t="inlineStr">
        <is>
          <t>Nutzen (ein Satz genügt)</t>
        </is>
      </c>
      <c r="B12" s="129" t="n"/>
      <c r="C12" s="130" t="n"/>
      <c r="D12" s="130" t="n"/>
      <c r="E12" s="130" t="n"/>
    </row>
    <row r="13" ht="30" customHeight="1" s="48">
      <c r="A13" s="128" t="inlineStr">
        <is>
          <t>Nicht im Umfang</t>
        </is>
      </c>
      <c r="B13" s="129" t="n"/>
      <c r="C13" s="130" t="n"/>
      <c r="D13" s="130" t="n"/>
      <c r="E13" s="130" t="n"/>
    </row>
    <row r="15">
      <c r="A15" s="127" t="inlineStr">
        <is>
          <t>Rollen</t>
        </is>
      </c>
      <c r="B15" s="134" t="n"/>
      <c r="C15" s="134" t="n"/>
      <c r="D15" s="134" t="n"/>
      <c r="E15" s="134" t="n"/>
    </row>
    <row r="16" ht="30" customHeight="1" s="48">
      <c r="A16" s="128" t="inlineStr">
        <is>
          <t>Auftraggeber (entscheidet, priorisiert)</t>
        </is>
      </c>
      <c r="B16" s="129" t="n"/>
      <c r="C16" s="130" t="n"/>
      <c r="D16" s="130" t="n"/>
      <c r="E16" s="130" t="n"/>
    </row>
    <row r="17" ht="30" customHeight="1" s="48">
      <c r="A17" s="128" t="inlineStr">
        <is>
          <t>Anwendervertreter (definiert fachlich, nimmt ab)</t>
        </is>
      </c>
      <c r="B17" s="129" t="n"/>
      <c r="C17" s="130" t="n"/>
      <c r="D17" s="130" t="n"/>
      <c r="E17" s="130" t="n"/>
    </row>
    <row r="18" ht="24" customHeight="1" s="48">
      <c r="A18" s="128" t="inlineStr">
        <is>
          <t>Projektleitung / Umsetzung</t>
        </is>
      </c>
      <c r="B18" s="129" t="n"/>
      <c r="C18" s="130" t="n"/>
      <c r="D18" s="130" t="n"/>
      <c r="E18" s="130" t="n"/>
    </row>
    <row r="20">
      <c r="A20" s="127" t="inlineStr">
        <is>
          <t>Abnahmekriterien: Das Vorhaben ist fertig, wenn …</t>
        </is>
      </c>
      <c r="B20" s="134" t="n"/>
      <c r="C20" s="134" t="n"/>
      <c r="D20" s="134" t="n"/>
      <c r="E20" s="134" t="n"/>
    </row>
    <row r="21">
      <c r="A21" s="131" t="inlineStr">
        <is>
          <t>Nr.</t>
        </is>
      </c>
      <c r="B21" s="131" t="inlineStr">
        <is>
          <t>Kriterium</t>
        </is>
      </c>
      <c r="C21" s="131" t="inlineStr"/>
      <c r="D21" s="131" t="inlineStr">
        <is>
          <t>Wie geprüft</t>
        </is>
      </c>
      <c r="E21" s="131" t="inlineStr"/>
    </row>
    <row r="22" ht="22" customHeight="1" s="48">
      <c r="A22" s="130" t="n"/>
      <c r="B22" s="130" t="n"/>
      <c r="C22" s="130" t="n"/>
      <c r="D22" s="130" t="n"/>
      <c r="E22" s="130" t="n"/>
    </row>
    <row r="23" ht="22" customHeight="1" s="48">
      <c r="A23" s="130" t="n"/>
      <c r="B23" s="130" t="n"/>
      <c r="C23" s="130" t="n"/>
      <c r="D23" s="130" t="n"/>
      <c r="E23" s="130" t="n"/>
    </row>
    <row r="24" ht="22" customHeight="1" s="48">
      <c r="A24" s="130" t="n"/>
      <c r="B24" s="130" t="n"/>
      <c r="C24" s="130" t="n"/>
      <c r="D24" s="130" t="n"/>
      <c r="E24" s="130" t="n"/>
    </row>
    <row r="25" ht="22" customHeight="1" s="48">
      <c r="A25" s="130" t="n"/>
      <c r="B25" s="130" t="n"/>
      <c r="C25" s="130" t="n"/>
      <c r="D25" s="130" t="n"/>
      <c r="E25" s="130" t="n"/>
    </row>
    <row r="27">
      <c r="A27" s="127" t="inlineStr">
        <is>
          <t>Freigabe</t>
        </is>
      </c>
      <c r="B27" s="134" t="n"/>
      <c r="C27" s="134" t="n"/>
      <c r="D27" s="134" t="n"/>
      <c r="E27" s="134" t="n"/>
    </row>
    <row r="28" ht="22" customHeight="1" s="48">
      <c r="A28" s="128" t="inlineStr">
        <is>
          <t>Termin Zielabnahme</t>
        </is>
      </c>
      <c r="B28" s="129" t="n"/>
      <c r="C28" s="130" t="n"/>
      <c r="D28" s="130" t="n"/>
      <c r="E28" s="130" t="n"/>
    </row>
    <row r="29" ht="34" customHeight="1" s="48">
      <c r="A29" s="128" t="inlineStr">
        <is>
          <t>Datum, Unterschrift Auftraggeber</t>
        </is>
      </c>
      <c r="B29" s="129" t="n"/>
      <c r="C29" s="130" t="n"/>
      <c r="D29" s="130" t="n"/>
      <c r="E29" s="130" t="n"/>
    </row>
    <row r="31">
      <c r="A31" s="127" t="inlineStr">
        <is>
          <t>Änderungsanträge nach der Freigabe (gehen über den Auftraggeber)</t>
        </is>
      </c>
      <c r="B31" s="134" t="n"/>
      <c r="C31" s="134" t="n"/>
      <c r="D31" s="134" t="n"/>
      <c r="E31" s="134" t="n"/>
    </row>
    <row r="32">
      <c r="A32" s="131" t="inlineStr">
        <is>
          <t>Datum</t>
        </is>
      </c>
      <c r="B32" s="131" t="inlineStr">
        <is>
          <t>Änderung</t>
        </is>
      </c>
      <c r="C32" s="131" t="inlineStr">
        <is>
          <t>Aufwand</t>
        </is>
      </c>
      <c r="D32" s="131" t="inlineStr">
        <is>
          <t>Entscheid</t>
        </is>
      </c>
      <c r="E32" s="131" t="inlineStr">
        <is>
          <t>Visum</t>
        </is>
      </c>
    </row>
    <row r="33" ht="22" customHeight="1" s="48">
      <c r="A33" s="130" t="n"/>
      <c r="B33" s="130" t="n"/>
      <c r="C33" s="130" t="n"/>
      <c r="D33" s="130" t="n"/>
      <c r="E33" s="130" t="n"/>
    </row>
    <row r="34" ht="22" customHeight="1" s="48">
      <c r="A34" s="130" t="n"/>
      <c r="B34" s="130" t="n"/>
      <c r="C34" s="130" t="n"/>
      <c r="D34" s="130" t="n"/>
      <c r="E34" s="130" t="n"/>
    </row>
    <row r="35" ht="22" customHeight="1" s="48">
      <c r="A35" s="130" t="n"/>
      <c r="B35" s="130" t="n"/>
      <c r="C35" s="130" t="n"/>
      <c r="D35" s="130" t="n"/>
      <c r="E35" s="130" t="n"/>
    </row>
  </sheetData>
  <mergeCells count="20">
    <mergeCell ref="A15:E15"/>
    <mergeCell ref="B6:E6"/>
    <mergeCell ref="A1:E1"/>
    <mergeCell ref="B5:E5"/>
    <mergeCell ref="B16:E16"/>
    <mergeCell ref="B7:E7"/>
    <mergeCell ref="A27:E27"/>
    <mergeCell ref="B18:E18"/>
    <mergeCell ref="A2:E2"/>
    <mergeCell ref="B12:E12"/>
    <mergeCell ref="B11:E11"/>
    <mergeCell ref="B17:E17"/>
    <mergeCell ref="A4:E4"/>
    <mergeCell ref="A20:E20"/>
    <mergeCell ref="B13:E13"/>
    <mergeCell ref="B29:E29"/>
    <mergeCell ref="A31:E31"/>
    <mergeCell ref="B10:E10"/>
    <mergeCell ref="B28:E28"/>
    <mergeCell ref="A9:E9"/>
  </mergeCells>
  <pageMargins left="0.75" right="0.75" top="1" bottom="1" header="0.5" footer="0.5"/>
  <pageSetup orientation="portrait" paperSize="9" fitToHeight="1" fitToWidth="1"/>
</worksheet>
</file>

<file path=xl/worksheets/sheet7.xml><?xml version="1.0" encoding="utf-8"?>
<worksheet xmlns="http://schemas.openxmlformats.org/spreadsheetml/2006/main">
  <sheetPr>
    <tabColor rgb="002E8B57"/>
    <outlinePr summaryBelow="1" summaryRight="1"/>
    <pageSetUpPr fitToPage="1"/>
  </sheetPr>
  <dimension ref="A1:E33"/>
  <sheetViews>
    <sheetView showGridLines="0" tabSelected="0" workbookViewId="0">
      <selection activeCell="A1" sqref="A1"/>
    </sheetView>
  </sheetViews>
  <sheetFormatPr baseColWidth="8" defaultRowHeight="15"/>
  <cols>
    <col width="26" customWidth="1" style="48" min="1" max="1"/>
    <col width="22" customWidth="1" style="48" min="2" max="2"/>
    <col width="22" customWidth="1" style="48" min="3" max="3"/>
    <col width="22" customWidth="1" style="48" min="4" max="4"/>
    <col width="22" customWidth="1" style="48" min="5" max="5"/>
  </cols>
  <sheetData>
    <row r="1" ht="32" customHeight="1" s="48">
      <c r="A1" s="132" t="inlineStr">
        <is>
          <t>Abnahmeprotokoll  ·  eine Seite</t>
        </is>
      </c>
    </row>
    <row r="2" ht="28" customHeight="1" s="48">
      <c r="A2" s="126" t="inlineStr">
        <is>
          <t>Mit der Unterschrift des Anwendervertreters ist der Entscheidungspunkt ② Abnahme erreicht. Die Übergabe in den Betrieb schliesst das Vorhaben ab (③ Abschluss).</t>
        </is>
      </c>
    </row>
    <row r="4">
      <c r="A4" s="133" t="inlineStr">
        <is>
          <t>Vorhaben</t>
        </is>
      </c>
      <c r="B4" s="135" t="n"/>
      <c r="C4" s="135" t="n"/>
      <c r="D4" s="135" t="n"/>
      <c r="E4" s="135" t="n"/>
    </row>
    <row r="5" ht="22" customHeight="1" s="48">
      <c r="A5" s="128" t="inlineStr">
        <is>
          <t>Bezeichnung und ID</t>
        </is>
      </c>
      <c r="B5" s="129" t="n"/>
      <c r="C5" s="130" t="n"/>
      <c r="D5" s="130" t="n"/>
      <c r="E5" s="130" t="n"/>
    </row>
    <row r="6" ht="30" customHeight="1" s="48">
      <c r="A6" s="128" t="inlineStr">
        <is>
          <t>Abnahmegegenstand und Version</t>
        </is>
      </c>
      <c r="B6" s="129" t="n"/>
      <c r="C6" s="130" t="n"/>
      <c r="D6" s="130" t="n"/>
      <c r="E6" s="130" t="n"/>
    </row>
    <row r="7" ht="22" customHeight="1" s="48">
      <c r="A7" s="128" t="inlineStr">
        <is>
          <t>Datum der Abnahme</t>
        </is>
      </c>
      <c r="B7" s="129" t="n"/>
      <c r="C7" s="130" t="n"/>
      <c r="D7" s="130" t="n"/>
      <c r="E7" s="130" t="n"/>
    </row>
    <row r="9">
      <c r="A9" s="133" t="inlineStr">
        <is>
          <t>Prüfung der Abnahmekriterien aus dem Projektauftrag</t>
        </is>
      </c>
      <c r="B9" s="135" t="n"/>
      <c r="C9" s="135" t="n"/>
      <c r="D9" s="135" t="n"/>
      <c r="E9" s="135" t="n"/>
    </row>
    <row r="10">
      <c r="A10" s="131" t="inlineStr">
        <is>
          <t>Nr.</t>
        </is>
      </c>
      <c r="B10" s="131" t="inlineStr">
        <is>
          <t>Kriterium</t>
        </is>
      </c>
      <c r="C10" s="131" t="inlineStr">
        <is>
          <t>✔ erfüllt / ✘ nicht</t>
        </is>
      </c>
      <c r="D10" s="131" t="inlineStr">
        <is>
          <t>Bemerkung</t>
        </is>
      </c>
      <c r="E10" s="131" t="inlineStr"/>
    </row>
    <row r="11" ht="22" customHeight="1" s="48">
      <c r="A11" s="130" t="n"/>
      <c r="B11" s="130" t="n"/>
      <c r="C11" s="130" t="n"/>
      <c r="D11" s="130" t="n"/>
      <c r="E11" s="130" t="n"/>
    </row>
    <row r="12" ht="22" customHeight="1" s="48">
      <c r="A12" s="130" t="n"/>
      <c r="B12" s="130" t="n"/>
      <c r="C12" s="130" t="n"/>
      <c r="D12" s="130" t="n"/>
      <c r="E12" s="130" t="n"/>
    </row>
    <row r="13" ht="22" customHeight="1" s="48">
      <c r="A13" s="130" t="n"/>
      <c r="B13" s="130" t="n"/>
      <c r="C13" s="130" t="n"/>
      <c r="D13" s="130" t="n"/>
      <c r="E13" s="130" t="n"/>
    </row>
    <row r="14" ht="22" customHeight="1" s="48">
      <c r="A14" s="130" t="n"/>
      <c r="B14" s="130" t="n"/>
      <c r="C14" s="130" t="n"/>
      <c r="D14" s="130" t="n"/>
      <c r="E14" s="130" t="n"/>
    </row>
    <row r="15" ht="22" customHeight="1" s="48">
      <c r="A15" s="130" t="n"/>
      <c r="B15" s="130" t="n"/>
      <c r="C15" s="130" t="n"/>
      <c r="D15" s="130" t="n"/>
      <c r="E15" s="130" t="n"/>
    </row>
    <row r="17">
      <c r="A17" s="133" t="inlineStr">
        <is>
          <t>Offene Mängel</t>
        </is>
      </c>
      <c r="B17" s="135" t="n"/>
      <c r="C17" s="135" t="n"/>
      <c r="D17" s="135" t="n"/>
      <c r="E17" s="135" t="n"/>
    </row>
    <row r="18">
      <c r="A18" s="131" t="inlineStr">
        <is>
          <t>Nr.</t>
        </is>
      </c>
      <c r="B18" s="131" t="inlineStr">
        <is>
          <t>Mangel</t>
        </is>
      </c>
      <c r="C18" s="131" t="inlineStr">
        <is>
          <t>Schwere</t>
        </is>
      </c>
      <c r="D18" s="131" t="inlineStr">
        <is>
          <t>Erledigen bis</t>
        </is>
      </c>
      <c r="E18" s="131" t="inlineStr">
        <is>
          <t>Wer</t>
        </is>
      </c>
    </row>
    <row r="19" ht="22" customHeight="1" s="48">
      <c r="A19" s="130" t="n"/>
      <c r="B19" s="130" t="n"/>
      <c r="C19" s="130" t="n"/>
      <c r="D19" s="130" t="n"/>
      <c r="E19" s="130" t="n"/>
    </row>
    <row r="20" ht="22" customHeight="1" s="48">
      <c r="A20" s="130" t="n"/>
      <c r="B20" s="130" t="n"/>
      <c r="C20" s="130" t="n"/>
      <c r="D20" s="130" t="n"/>
      <c r="E20" s="130" t="n"/>
    </row>
    <row r="21" ht="22" customHeight="1" s="48">
      <c r="A21" s="130" t="n"/>
      <c r="B21" s="130" t="n"/>
      <c r="C21" s="130" t="n"/>
      <c r="D21" s="130" t="n"/>
      <c r="E21" s="130" t="n"/>
    </row>
    <row r="23">
      <c r="A23" s="133" t="inlineStr">
        <is>
          <t>Entscheid</t>
        </is>
      </c>
      <c r="B23" s="135" t="n"/>
      <c r="C23" s="135" t="n"/>
      <c r="D23" s="135" t="n"/>
      <c r="E23" s="135" t="n"/>
    </row>
    <row r="24" ht="48" customHeight="1" s="48">
      <c r="A24" s="128" t="inlineStr">
        <is>
          <t>☐ abgenommen
☐ mit Auflagen
☐ nicht abgenommen</t>
        </is>
      </c>
      <c r="B24" s="129" t="n"/>
      <c r="C24" s="130" t="n"/>
      <c r="D24" s="130" t="n"/>
      <c r="E24" s="130" t="n"/>
    </row>
    <row r="25" ht="40" customHeight="1" s="48">
      <c r="A25" s="128" t="inlineStr">
        <is>
          <t>Auflagen</t>
        </is>
      </c>
      <c r="B25" s="129" t="n"/>
      <c r="C25" s="130" t="n"/>
      <c r="D25" s="130" t="n"/>
      <c r="E25" s="130" t="n"/>
    </row>
    <row r="27">
      <c r="A27" s="133" t="inlineStr">
        <is>
          <t>Übergabe in den Betrieb</t>
        </is>
      </c>
      <c r="B27" s="135" t="n"/>
      <c r="C27" s="135" t="n"/>
      <c r="D27" s="135" t="n"/>
      <c r="E27" s="135" t="n"/>
    </row>
    <row r="28" ht="30" customHeight="1" s="48">
      <c r="A28" s="128" t="inlineStr">
        <is>
          <t>Betriebsdokumentation vorhanden (Ablage)</t>
        </is>
      </c>
      <c r="B28" s="129" t="n"/>
      <c r="C28" s="130" t="n"/>
      <c r="D28" s="130" t="n"/>
      <c r="E28" s="130" t="n"/>
    </row>
    <row r="29" ht="22" customHeight="1" s="48">
      <c r="A29" s="128" t="inlineStr">
        <is>
          <t>Zuständig im Betrieb</t>
        </is>
      </c>
      <c r="B29" s="129" t="n"/>
      <c r="C29" s="130" t="n"/>
      <c r="D29" s="130" t="n"/>
      <c r="E29" s="130" t="n"/>
    </row>
    <row r="31">
      <c r="A31" s="133" t="inlineStr">
        <is>
          <t>Unterschriften</t>
        </is>
      </c>
      <c r="B31" s="135" t="n"/>
      <c r="C31" s="135" t="n"/>
      <c r="D31" s="135" t="n"/>
      <c r="E31" s="135" t="n"/>
    </row>
    <row r="32" ht="34" customHeight="1" s="48">
      <c r="A32" s="128" t="inlineStr">
        <is>
          <t>Anwendervertreter, Datum</t>
        </is>
      </c>
      <c r="B32" s="129" t="n"/>
      <c r="C32" s="130" t="n"/>
      <c r="D32" s="130" t="n"/>
      <c r="E32" s="130" t="n"/>
    </row>
    <row r="33" ht="34" customHeight="1" s="48">
      <c r="A33" s="128" t="inlineStr">
        <is>
          <t>Auftraggeber (zur Kenntnis), Datum</t>
        </is>
      </c>
      <c r="B33" s="129" t="n"/>
      <c r="C33" s="130" t="n"/>
      <c r="D33" s="130" t="n"/>
      <c r="E33" s="130" t="n"/>
    </row>
  </sheetData>
  <mergeCells count="17">
    <mergeCell ref="A4:E4"/>
    <mergeCell ref="A31:E31"/>
    <mergeCell ref="A2:E2"/>
    <mergeCell ref="B6:E6"/>
    <mergeCell ref="B29:E29"/>
    <mergeCell ref="B7:E7"/>
    <mergeCell ref="A1:E1"/>
    <mergeCell ref="A23:E23"/>
    <mergeCell ref="B24:E24"/>
    <mergeCell ref="B5:E5"/>
    <mergeCell ref="B25:E25"/>
    <mergeCell ref="B33:E33"/>
    <mergeCell ref="B28:E28"/>
    <mergeCell ref="A17:E17"/>
    <mergeCell ref="A9:E9"/>
    <mergeCell ref="A27:E27"/>
    <mergeCell ref="B32:E32"/>
  </mergeCells>
  <pageMargins left="0.75" right="0.75" top="1" bottom="1" header="0.5" footer="0.5"/>
  <pageSetup orientation="portrait"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2026-09-29T05:50:21Z</dcterms:created>
  <dcterms:modified xsi:type="dcterms:W3CDTF">2026-09-29T07:48:34Z</dcterms:modified>
</cp:coreProperties>
</file>