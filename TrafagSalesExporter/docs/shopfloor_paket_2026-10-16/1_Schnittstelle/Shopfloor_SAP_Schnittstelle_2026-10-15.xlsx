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loy 16.10." sheetId="1" state="visible" r:id="rId3"/>
    <sheet name="Übersicht" sheetId="2" state="visible" r:id="rId4"/>
    <sheet name="Jobs 04-00" sheetId="3" state="visible" r:id="rId5"/>
    <sheet name="Verkauf CO-PA" sheetId="4" state="visible" r:id="rId6"/>
    <sheet name="Feld-Mapping" sheetId="5" state="visible" r:id="rId7"/>
    <sheet name="Disponenten" sheetId="6" state="visible" r:id="rId8"/>
    <sheet name="ZD05 Anforderung" sheetId="7" state="visible" r:id="rId9"/>
  </sheets>
  <definedNames>
    <definedName function="false" hidden="true" localSheetId="4" name="_xlnm._FilterDatabase" vbProcedure="false">'Feld-Mapping'!$A$4:$N$138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<sst xmlns="http://schemas.openxmlformats.org/spreadsheetml/2006/main" count="2153" uniqueCount="839">
  <si>
    <t xml:space="preserve">Deploy-Checkliste Shopfloor, 16.10.2026</t>
  </si>
  <si>
    <t xml:space="preserve">Grün = bereit für Deploy morgen; Gelb = Quelle noch offen, nicht deployen. Details pro Feld im Blatt «Feld-Mapping», pro Job im Blatt «Jobs 04-00».</t>
  </si>
  <si>
    <t xml:space="preserve">Nr</t>
  </si>
  <si>
    <t xml:space="preserve">Schritt</t>
  </si>
  <si>
    <t xml:space="preserve">Was / Quelle</t>
  </si>
  <si>
    <t xml:space="preserve">Kontrolle / Hinweis</t>
  </si>
  <si>
    <t xml:space="preserve">Status</t>
  </si>
  <si>
    <t xml:space="preserve">1</t>
  </si>
  <si>
    <t xml:space="preserve">Frontend-Patches einspielen</t>
  </si>
  <si>
    <t xml:space="preserve">2_Patch: node apply_patch.js &lt;Pfad&gt;\BiDashboard\shopfloor --check, danach ohne --check; Browser Strg+F5. 01 und 02 sind bereits live und werden übersprungen.</t>
  </si>
  <si>
    <t xml:space="preserve">Neu 03 Wünsche D. Tobler: Grafik Vorrat 1 Mte, PPD Verzug DW + Terminverschiebungen, Ampel pro Bereich, Lieferzeiten-Übersicht (Menü), Forecast DS separat</t>
  </si>
  <si>
    <t xml:space="preserve">bereit</t>
  </si>
  <si>
    <t xml:space="preserve">1b</t>
  </si>
  <si>
    <t xml:space="preserve">Konfiguration anpassen (Patch 04)</t>
  </si>
  <si>
    <t xml:space="preserve">3_Config: node apply_config.js &lt;Pfad&gt;\shopfloor_config.json --check, danach ohne --check; ggf. App-Pool neu starten</t>
  </si>
  <si>
    <t xml:space="preserve">PPD: Verzug MTS entfernt (Summe ohne MTS); Verlaufskacheln; Ampel-Felder 10 Bereiche; lz_grund; Forecast DW nur fertige DW, neu Zeile DS (DS1, DS2, DSN). Prüfen: DW1/DL6 erscheinen danach unter «Nicht zugeordnet» (sonst Eintrag «DW» aus Liste entfernen). Speichern der neuen Felder einmal testen.</t>
  </si>
  <si>
    <t xml:space="preserve">2</t>
  </si>
  <si>
    <t xml:space="preserve">Job J1 ZD05 auf 04:00 umstellen</t>
  </si>
  <si>
    <t xml:space="preserve">läuft heute nachmittags (13.10. 14:45, 14.10. 14:21)</t>
  </si>
  <si>
    <t xml:space="preserve">Disponent 001-005, Werk 1100</t>
  </si>
  <si>
    <t xml:space="preserve">3</t>
  </si>
  <si>
    <t xml:space="preserve">Job J2/J3 Verkauf AE + Umsatz</t>
  </si>
  <si>
    <t xml:space="preserve">CO-PA CE1&lt;Ergebnisbereich&gt;, Satzart A/F, BUKRS 1100, Nettoerlös, Produktsparte 0003/0005</t>
  </si>
  <si>
    <t xml:space="preserve">Kontrolle Sep 2026 exakt (Blatt «Verkauf CO-PA»); Ergebnisbereich-Kürzel eintragen</t>
  </si>
  <si>
    <t xml:space="preserve">4</t>
  </si>
  <si>
    <t xml:space="preserve">Job J5 Logistik</t>
  </si>
  <si>
    <t xml:space="preserve">FB aus ZPP_RM_MENGEN (ZC27); MLE01, MLE02, MLE04, MLM01, MLE08+09</t>
  </si>
  <si>
    <t xml:space="preserve">Kontrolle ERSDA 13.10.: MLE01 673, MLE02 526, MLE04 542, MLE08+09 1'065</t>
  </si>
  <si>
    <t xml:space="preserve">5</t>
  </si>
  <si>
    <t xml:space="preserve">Job J8 Tagesmengen SEH + TR5</t>
  </si>
  <si>
    <t xml:space="preserve">SEH: COOIS /SEH 001, Disponent S*, Istendtermin Vortag, WE-Menge; TR5: ZC27 /PPA EXX72 (EDF72, Typencode 8*)</t>
  </si>
  <si>
    <t xml:space="preserve">Vortag; Montag Fr+Sa+So</t>
  </si>
  <si>
    <t xml:space="preserve">6</t>
  </si>
  <si>
    <t xml:space="preserve">Job J6 Auftragsvorrat SEH + TR5</t>
  </si>
  <si>
    <t xml:space="preserve">ZC22 (ZM_OFFENE_FAUF): SEH S*, TR5 /PPA EKX ALLE (EK*)</t>
  </si>
  <si>
    <t xml:space="preserve">Buckets: Tag (nur SEH), Woche bis So, 1 Mt = Monatsende, 2/3 Mt, Gesamt</t>
  </si>
  <si>
    <t xml:space="preserve">6b</t>
  </si>
  <si>
    <t xml:space="preserve">Job J11 FPY SEH pro Woche (SAP)</t>
  </si>
  <si>
    <t xml:space="preserve">OData C_MFGORDERITEMSCRAPAMTQRY_CDS, Werk 1100, Disponent S*, Istendtermin in KW; Zielfeld seh.fpy (Quelle via 3_Config auf SAP)</t>
  </si>
  <si>
    <t xml:space="preserve">Kontrolle KW38-41: 99.8 / 99.7 / 97.1 / 99.5 %</t>
  </si>
  <si>
    <t xml:space="preserve">7</t>
  </si>
  <si>
    <t xml:space="preserve">Konfiguration planned_source</t>
  </si>
  <si>
    <t xml:space="preserve">26 Felder MES -&gt; SAP (Spalte Bemerkung «Neu SAP statt MES»)</t>
  </si>
  <si>
    <t xml:space="preserve">teilweise schon umgestellt (Produzierte Tagesmenge zeigt SAP)</t>
  </si>
  <si>
    <t xml:space="preserve">8</t>
  </si>
  <si>
    <t xml:space="preserve">PFLICHT: Erstlauf sofort nach Deploy</t>
  </si>
  <si>
    <t xml:space="preserve">Alle grünen Jobs (J1, J2/J3, J5, J6, J8) direkt nach dem Hochladen einmal manuell starten (SE38/SA38 bzw. SM36 «sofort»), nicht bis 04:00 warten. Stichtag = heute, Mengen = vorheriger Arbeitstag (15.10.2026).</t>
  </si>
  <si>
    <t xml:space="preserve">Danach im Dashboard prüfen: Felder gefüllt, Quelle «SAP», Zeitstempel. Fabio gleicht ab gegen ZC27, KE30, COOIS, ZC22. Erst wenn ok, 04:00-Job aktiv lassen.</t>
  </si>
  <si>
    <t xml:space="preserve">8a</t>
  </si>
  <si>
    <t xml:space="preserve">Einmaliges Nachladen Historie (nach erfolgreichem Erstlauf)</t>
  </si>
  <si>
    <t xml:space="preserve">Verkauf (J2/J3): Monatswerte ab 01.01.2026 über Periode 1-10/2026; Logistik + Tagesmengen (J5, J8): täglich ab 01.10.2026 (ERSDA/Istendtermin je Tag). Auftragsvorrat (J6) nicht nachladen, nur Stichtagswert.</t>
  </si>
  <si>
    <t xml:space="preserve">Nur leere Tage füllen, manuell erfasste Werte nicht überschreiben (Quelle im Protokoll bleibt sichtbar). Zuerst mit 1 Tag testen.</t>
  </si>
  <si>
    <t xml:space="preserve">9</t>
  </si>
  <si>
    <t xml:space="preserve">TX, DW Produktion / Vorrat</t>
  </si>
  <si>
    <t xml:space="preserve">Rückmeldungen Teamleiter ausstehend</t>
  </si>
  <si>
    <t xml:space="preserve">offen</t>
  </si>
  <si>
    <t xml:space="preserve">10</t>
  </si>
  <si>
    <t xml:space="preserve">Rückstandslisten, PPD Verzug, Sensorbestände (WM), Gutschriften/ZC23</t>
  </si>
  <si>
    <t xml:space="preserve">Quellen noch nicht definiert</t>
  </si>
  <si>
    <t xml:space="preserve">11</t>
  </si>
  <si>
    <t xml:space="preserve">FPY (MES)</t>
  </si>
  <si>
    <t xml:space="preserve">TR5 definiert (trch-webapp-report, Transmitter Yield, MP2/3/7/8/10-15); SEH, TX, DW, CZ offen</t>
  </si>
  <si>
    <t xml:space="preserve">MES-Zugang via Marco Di Menco</t>
  </si>
  <si>
    <t xml:space="preserve">Offen nach Deploy: Zielwerte Lieferzeiten (Wochen) von TL/D. Tobler in 3_Config/config_patch.js (ZIEL) eintragen und apply_config.js erneut laufen lassen; Leistung DS (Stk/FTE) im Forecast erfassen.</t>
  </si>
  <si>
    <t xml:space="preserve">Übersicht Schnittstellen-Felder</t>
  </si>
  <si>
    <t xml:space="preserve">Quelle</t>
  </si>
  <si>
    <t xml:space="preserve">Anzahl Felder</t>
  </si>
  <si>
    <t xml:space="preserve">davon «definiert»</t>
  </si>
  <si>
    <t xml:space="preserve">SAP</t>
  </si>
  <si>
    <t xml:space="preserve">MES</t>
  </si>
  <si>
    <t xml:space="preserve">Total</t>
  </si>
  <si>
    <t xml:space="preserve">Legende:</t>
  </si>
  <si>
    <t xml:space="preserve">• Gelbe Spalten (J–N) im Blatt «Feld-Mapping» füllt Ingo aus; Status per Dropdown.</t>
  </si>
  <si>
    <t xml:space="preserve">• Grau hinterlegte Zeilen = MES. Festgelegt: aus MES kommen nur die FPY-Werte (5 Felder), alles andere aus SAP.</t>
  </si>
  <si>
    <t xml:space="preserve">• Spalten G–I sind Vorschläge von Claude auf Basis SAP-Standard (ECC/S4). Nicht geprüft – Trafag-Customizing (Z-Tabellen, ZC23, Typencode, VkNr) muss Ingo bestätigen.</t>
  </si>
  <si>
    <t xml:space="preserve">• «Art»: Tageswert = eine Zahl pro Modul und Tag; Liste = eine Zeile pro Kundenauftragsposition.</t>
  </si>
  <si>
    <t xml:space="preserve">• Festgelegt: Abteilungen werden über den Disponenten (Werk 1100) abgegrenzt – Codes im Blatt «Disponenten» (SEH = S*, TR5 = EK*, TX = EL*, DW = D*, CZ = 017–028; MTS leer).</t>
  </si>
  <si>
    <t xml:space="preserve">• Festgelegt: SAP übergibt die Daten täglich um 04:00 Uhr an POST /api/integration/push (Stand für das Shop-Floor-Meeting).</t>
  </si>
  <si>
    <t xml:space="preserve">• Beispielzeile: rs_tx.ka_nr → VBAP-VBELN, Filter: Disponent(en) TX, offene Positionen</t>
  </si>
  <si>
    <t xml:space="preserve">Schnittstellen-Jobs SAP -&gt; Shopfloor (täglich 04:00, POST /api/integration/push)</t>
  </si>
  <si>
    <t xml:space="preserve">Stand 14.10.2026. Status: live = läuft bereits; definiert = Quelle bestätigt; offen = noch zu klären.</t>
  </si>
  <si>
    <t xml:space="preserve">Job</t>
  </si>
  <si>
    <t xml:space="preserve">Inhalt</t>
  </si>
  <si>
    <t xml:space="preserve">Modul</t>
  </si>
  <si>
    <t xml:space="preserve">Selektion</t>
  </si>
  <si>
    <t xml:space="preserve">Zeitbezug</t>
  </si>
  <si>
    <t xml:space="preserve">Bemerkung</t>
  </si>
  <si>
    <t xml:space="preserve">J1</t>
  </si>
  <si>
    <t xml:space="preserve">Einkauf Fehlteile ZD05</t>
  </si>
  <si>
    <t xml:space="preserve">zd05</t>
  </si>
  <si>
    <t xml:space="preserve">ZD05 «Bestellungen auf Umterminierung prüfen»</t>
  </si>
  <si>
    <t xml:space="preserve">Stand Lauf</t>
  </si>
  <si>
    <t xml:space="preserve">live</t>
  </si>
  <si>
    <t xml:space="preserve">Läuft bereits (updated_by «SAP-Schnittstelle»). Abweichung Dashboard 28 vs. Excel 34 Positionen am 14.10. zurückgestellt</t>
  </si>
  <si>
    <t xml:space="preserve">J2</t>
  </si>
  <si>
    <t xml:space="preserve">Verkauf AE</t>
  </si>
  <si>
    <t xml:space="preserve">verkauf</t>
  </si>
  <si>
    <t xml:space="preserve">CO-PA CE1&lt;Ergebnisbereich&gt;, Satzart A (wie KE30 Z0001-000006)</t>
  </si>
  <si>
    <t xml:space="preserve">BUKRS 1100, Periode = Monat von Vortag; gesamt, Produktsparte 0003 (DW), 0005+0006 (Transmitter)</t>
  </si>
  <si>
    <t xml:space="preserve">Monat kumuliert bis Vortag</t>
  </si>
  <si>
    <t xml:space="preserve">definiert</t>
  </si>
  <si>
    <t xml:space="preserve">Felder ae_aktuell, ae_dw, ae_tx. Nettoerlös-Formel siehe Blatt «Verkauf CO-PA». Sep 2026 exakt abgeglichen</t>
  </si>
  <si>
    <t xml:space="preserve">J3</t>
  </si>
  <si>
    <t xml:space="preserve">Verkauf Umsatz IST</t>
  </si>
  <si>
    <t xml:space="preserve">CO-PA CE1&lt;Ergebnisbereich&gt;, Satzart F</t>
  </si>
  <si>
    <t xml:space="preserve">wie J2</t>
  </si>
  <si>
    <t xml:space="preserve">Felder umsatz_ist, u_dw, u_tx. Plan B: Fiori C_SALESVOLUMEANALYTICSQRY_CDS (= KE30 + Skonto)</t>
  </si>
  <si>
    <t xml:space="preserve">J4</t>
  </si>
  <si>
    <t xml:space="preserve">Verkauf Gutschriften / Plan ZC23</t>
  </si>
  <si>
    <t xml:space="preserve">Gutschriften: CO-PA bzw. Fiori CustCrdtMemoNetAmtInDspCrcy; Plan: ZC23</t>
  </si>
  <si>
    <t xml:space="preserve">BUKRS 1100</t>
  </si>
  <si>
    <t xml:space="preserve">Monat</t>
  </si>
  <si>
    <t xml:space="preserve">ZC23 = Z-Transaktion, Quelle klären</t>
  </si>
  <si>
    <t xml:space="preserve">J5</t>
  </si>
  <si>
    <t xml:space="preserve">Logistik Mengen</t>
  </si>
  <si>
    <t xml:space="preserve">logistik</t>
  </si>
  <si>
    <t xml:space="preserve">AFRU wie ZC27 (Programm ZPP_RM_MENGEN): ERSDA, STOKZ = ' ', STZHL = 0, letzter Vorgang (max. AFVC-VORNR), ARBID via CRHD</t>
  </si>
  <si>
    <t xml:space="preserve">Arbeitsplatz MLE01, MLE02, MLE04, MLM01 einzeln; MLE08+MLE09 summiert; Werk 1100; ohne Stornos</t>
  </si>
  <si>
    <t xml:space="preserve">ERSDA vorheriger Arbeitstag bis Vortag (Montag: Fr + Sa + So summiert)</t>
  </si>
  <si>
    <t xml:space="preserve">Logik aus ZPP_RM_MENGEN, P76 = T76 (seit Jahren unverändert). Kontrolle ERSDA 13.10.: MLE01 673, MLE02 526, MLE04 542, MLE08+09 1'065; MLM01 im Excel falsch übertragen</t>
  </si>
  <si>
    <t xml:space="preserve">J6</t>
  </si>
  <si>
    <t xml:space="preserve">Produktion Auftragsvorrat / offene Menge KW / Verzug</t>
  </si>
  <si>
    <t xml:space="preserve">seh, tr5, tx, dw, ppd</t>
  </si>
  <si>
    <t xml:space="preserve">ZC22 (ZM_OFFENE_FAUF): SEH Disponent S*, TR5 Variante /PPA EKX ALLE (EK*)</t>
  </si>
  <si>
    <t xml:space="preserve">Disponenten je Abteilung (Blatt «Disponenten»)</t>
  </si>
  <si>
    <t xml:space="preserve">Stichtag = Laufdatum; Woche = Ende KW inkl. Sa/So; 1 Mt = Monatsende; 2/3 Mt = Ende Folge-/übernächster Monat; Gesamt</t>
  </si>
  <si>
    <t xml:space="preserve">definiert (SEH, TR5)</t>
  </si>
  <si>
    <t xml:space="preserve">TX, DW ausstehend; Verzug PPD separat</t>
  </si>
  <si>
    <t xml:space="preserve">J7</t>
  </si>
  <si>
    <t xml:space="preserve">Rückstandslisten</t>
  </si>
  <si>
    <t xml:space="preserve">rs_seh, rs_tr5, rs_tx, rs_dw</t>
  </si>
  <si>
    <t xml:space="preserve">Kundenauftrag / FA / Planauftrag</t>
  </si>
  <si>
    <t xml:space="preserve">Disponenten je Abteilung</t>
  </si>
  <si>
    <t xml:space="preserve">Stichtag</t>
  </si>
  <si>
    <t xml:space="preserve">Listen-Modul: 1 Zeile pro KA-Position</t>
  </si>
  <si>
    <t xml:space="preserve">J8</t>
  </si>
  <si>
    <t xml:space="preserve">Produzierte Tagesmengen</t>
  </si>
  <si>
    <t xml:space="preserve">seh, tr5, tx, dw</t>
  </si>
  <si>
    <t xml:space="preserve">SEH: COOIS Layout /SEH 001 (Disponent S*, Istendtermin); TR5: ZC27 Variante /PPA EXX72 (EDF72, Typencode 8*)</t>
  </si>
  <si>
    <t xml:space="preserve">Arbeitsplätze je Abteilung (offen), DW: DL790</t>
  </si>
  <si>
    <t xml:space="preserve">vorheriger Arbeitstag bis Vortag (Montag: Fr+Sa+So)</t>
  </si>
  <si>
    <t xml:space="preserve">TX, DW ausstehend</t>
  </si>
  <si>
    <t xml:space="preserve">J9</t>
  </si>
  <si>
    <t xml:space="preserve">Sensorbestände</t>
  </si>
  <si>
    <t xml:space="preserve">sensoren</t>
  </si>
  <si>
    <t xml:space="preserve">WM-Bestand LQUA (LS24/LX03)</t>
  </si>
  <si>
    <t xml:space="preserve">Disponenten SE1/SE2, SL1/SL2/SL4, SL2/SL5, SL3</t>
  </si>
  <si>
    <t xml:space="preserve">Lagernummer/Lagertyp offen</t>
  </si>
  <si>
    <t xml:space="preserve">J10</t>
  </si>
  <si>
    <t xml:space="preserve">FPY</t>
  </si>
  <si>
    <t xml:space="preserve">seh, tr5, tx, dw, cz</t>
  </si>
  <si>
    <t xml:space="preserve">MES-Report trch-webapp-report &gt; Yieldgesamt (TR5: Transmitter Yield, MP2/3/7/8/10-15)</t>
  </si>
  <si>
    <t xml:space="preserve">Linie</t>
  </si>
  <si>
    <t xml:space="preserve">Vortag</t>
  </si>
  <si>
    <t xml:space="preserve">TR5 definiert; SEH, TX, DW, CZ ausstehend</t>
  </si>
  <si>
    <t xml:space="preserve">J11</t>
  </si>
  <si>
    <t xml:space="preserve">FPY SEH pro Woche (SAP)</t>
  </si>
  <si>
    <t xml:space="preserve">seh (Feld fpy)</t>
  </si>
  <si>
    <t xml:space="preserve">Fiori/OData C_MFGORDERITEMSCRAPAMTQRY_CDS (P_DisplayCurrency='CHF', P_ExchangeRateType='M'): Gesamtmenge, WE-Menge je Auftrag</t>
  </si>
  <si>
    <t xml:space="preserve">ProductionPlant 1100; MRPController S*; Istendtermin in KW</t>
  </si>
  <si>
    <t xml:space="preserve">KW des Vortags nach Istendtermin (Montag: Vorwoche)</t>
  </si>
  <si>
    <t xml:space="preserve">Kontrolle KW38-41: 99.8 / 99.7 / 97.1 / 99.5 %. TR5, TX, DW: FPY weiter aus MES</t>
  </si>
  <si>
    <t xml:space="preserve">Verkauf aus CO-PA (Quelle KE30-Bericht Z0001-000006 «AE/NE/AB ein Jahr»)</t>
  </si>
  <si>
    <t xml:space="preserve">Punkt</t>
  </si>
  <si>
    <t xml:space="preserve">Festlegung</t>
  </si>
  <si>
    <t xml:space="preserve">Tabelle</t>
  </si>
  <si>
    <t xml:space="preserve">CE1&lt;Ergebnisbereich&gt; (kalkulatorische Ergebnisrechnung), Kürzel via KEBC / Berichtsinfo KE30 bestätigen</t>
  </si>
  <si>
    <t xml:space="preserve">Buchungskreis</t>
  </si>
  <si>
    <t xml:space="preserve">1100</t>
  </si>
  <si>
    <t xml:space="preserve">Ledger/Währung</t>
  </si>
  <si>
    <t xml:space="preserve">Buchungskreiswährung CHF</t>
  </si>
  <si>
    <t xml:space="preserve">Satzart A</t>
  </si>
  <si>
    <t xml:space="preserve">Auftragseingang (AE)</t>
  </si>
  <si>
    <t xml:space="preserve">Satzart F</t>
  </si>
  <si>
    <t xml:space="preserve">Faktura = Umsatz IST</t>
  </si>
  <si>
    <t xml:space="preserve">Periode</t>
  </si>
  <si>
    <t xml:space="preserve">Geschäftsjahr / Periode des Vortags (Lauf 04:00), Monat kumuliert</t>
  </si>
  <si>
    <t xml:space="preserve">Wert</t>
  </si>
  <si>
    <t xml:space="preserve">Nettoerlös = Bruttoerlös + Frachterlös - Wiederverkaufsrabatt - Mengenrabatt - sonst. Erlösminderung - Währungsausgleich - Verkaufsprovision - Skonto</t>
  </si>
  <si>
    <t xml:space="preserve">Merkmal Produktsparte</t>
  </si>
  <si>
    <t xml:space="preserve">0003 Dichtewächter = DW (inkl. DS) | 0005 Transmitter (+0006 Alt) = TR5+TX</t>
  </si>
  <si>
    <t xml:space="preserve">Zielfelder</t>
  </si>
  <si>
    <t xml:space="preserve">ae_aktuell / ae_dw / ae_tx (Satzart A); umsatz_ist / u_dw / u_tx (Satzart F)</t>
  </si>
  <si>
    <t xml:space="preserve">Kontrolle Sep 2026</t>
  </si>
  <si>
    <t xml:space="preserve">AE 6'531'197.94 (DW 2'768'728.51, TX 2'684'433.17); IST 7'878'114.69 (DW 3'613'791.49, TX 2'940'107.89) = Dashboard exakt</t>
  </si>
  <si>
    <t xml:space="preserve">Kontrolle Okt 2026 (Stand 14.10.)</t>
  </si>
  <si>
    <t xml:space="preserve">AE 3'570'012.93 (DW 1'678'070.80, TX 1'483'131.72); IST 4'082'547.00</t>
  </si>
  <si>
    <t xml:space="preserve">Hinweis</t>
  </si>
  <si>
    <t xml:space="preserve">Produktsparte ist ein CO-PA-Merkmal (nicht im MM), vermutlich aus Produkthierarchie abgeleitet (KEDR). DW = Produkthierarchie 87xx beim Umsatz bestätigt</t>
  </si>
  <si>
    <t xml:space="preserve">Go-for-it</t>
  </si>
  <si>
    <t xml:space="preserve">Wird nicht aus SAP geliefert: einmal pro Monat im Dashboard erfasst (Patch 02)</t>
  </si>
  <si>
    <t xml:space="preserve">Shopfloor ↔ SAP/MES – Feld-Mapping für die Schnittstelle (POST /api/integration/push)</t>
  </si>
  <si>
    <t xml:space="preserve">Spalten A–F: aus der App (Seite «Schnittstelle SAP / MES», 134 Felder). G–I: Vorschlag Claude (Annahme, nicht geprüft). Gelbe Spalten J–N: von Ingo auszufüllen.</t>
  </si>
  <si>
    <t xml:space="preserve">Feld (Anzeige)</t>
  </si>
  <si>
    <t xml:space="preserve">Technischer Name (Ziel)</t>
  </si>
  <si>
    <t xml:space="preserve">Einheit</t>
  </si>
  <si>
    <t xml:space="preserve">Art</t>
  </si>
  <si>
    <t xml:space="preserve">Vorschlag SAP-Tabelle</t>
  </si>
  <si>
    <t xml:space="preserve">Vorschlag SAP-Feld / Logik</t>
  </si>
  <si>
    <t xml:space="preserve">Vorschlag OData-Service</t>
  </si>
  <si>
    <t xml:space="preserve">SAP-Tabelle / CDS-View (Ingo)</t>
  </si>
  <si>
    <t xml:space="preserve">SAP-Feld (Ingo)</t>
  </si>
  <si>
    <t xml:space="preserve">Selektion / Filter (Werk, Dispo, Prod.-Hierarchie …)</t>
  </si>
  <si>
    <t xml:space="preserve">Abteilung SEH</t>
  </si>
  <si>
    <t xml:space="preserve">Auftragsvorrat total</t>
  </si>
  <si>
    <t xml:space="preserve">seh.vorrat_total</t>
  </si>
  <si>
    <t xml:space="preserve">Stk.</t>
  </si>
  <si>
    <t xml:space="preserve">Tageswert (Summe pro Abteilung)</t>
  </si>
  <si>
    <t xml:space="preserve">ZC22 (Programm ZM_OFFENE_FAUF, Annahme aus Variantenkatalog), SEH</t>
  </si>
  <si>
    <t xml:space="preserve">Offene Fertigungsaufträge (ohne erledigte, mit Planaufträgen) mit Eckendtermin bis Stichtag des Buckets; Mengensumme, Bucket Gesamt</t>
  </si>
  <si>
    <t xml:space="preserve">API_SALES_ORDER_SRV (A_SalesOrderScheduleLine)</t>
  </si>
  <si>
    <t xml:space="preserve">ZC22</t>
  </si>
  <si>
    <t xml:space="preserve">Offene</t>
  </si>
  <si>
    <t xml:space="preserve">Disponent S*, Werk 1100, mit Planaufträgen, ohne erledigte; alle offenen, ohne Endgrenze</t>
  </si>
  <si>
    <t xml:space="preserve">Quelle: Shopfloorboard.docx + Bestätigung Fabio 15.10.2026</t>
  </si>
  <si>
    <t xml:space="preserve">Auftragsvorrat 3 Mte</t>
  </si>
  <si>
    <t xml:space="preserve">seh.vorrat_3m</t>
  </si>
  <si>
    <t xml:space="preserve">Offene Fertigungsaufträge (ohne erledigte, mit Planaufträgen) mit Eckendtermin bis Stichtag des Buckets; Mengensumme, Bucket 3 Monate</t>
  </si>
  <si>
    <t xml:space="preserve">Disponent S*, Werk 1100, mit Planaufträgen, ohne erledigte; Eckendtermin bis Ende übernächster Monat (Annahme analog)</t>
  </si>
  <si>
    <t xml:space="preserve">Auftragsvorrat 2 Mte</t>
  </si>
  <si>
    <t xml:space="preserve">seh.vorrat_2m</t>
  </si>
  <si>
    <t xml:space="preserve">Offene Fertigungsaufträge (ohne erledigte, mit Planaufträgen) mit Eckendtermin bis Stichtag des Buckets; Mengensumme, Bucket 2 Monate</t>
  </si>
  <si>
    <t xml:space="preserve">Disponent S*, Werk 1100, mit Planaufträgen, ohne erledigte; Eckendtermin bis Ende Folgemonat (Annahme analog)</t>
  </si>
  <si>
    <t xml:space="preserve">Auftragsvorrat 1 Mte</t>
  </si>
  <si>
    <t xml:space="preserve">seh.vorrat_1m</t>
  </si>
  <si>
    <t xml:space="preserve">Offene Fertigungsaufträge (ohne erledigte, mit Planaufträgen) mit Eckendtermin bis Stichtag des Buckets; Mengensumme, Bucket 1 Monat</t>
  </si>
  <si>
    <t xml:space="preserve">Disponent S*, Werk 1100, mit Planaufträgen, ohne erledigte; Eckendtermin bis Ende laufender Monat</t>
  </si>
  <si>
    <t xml:space="preserve">Offene Menge aktuelle KW</t>
  </si>
  <si>
    <t xml:space="preserve">seh.offen_kw</t>
  </si>
  <si>
    <t xml:space="preserve">Offene Fertigungsaufträge (ohne erledigte, mit Planaufträgen) mit Eckendtermin bis Stichtag des Buckets; Mengensumme, Bucket Woche</t>
  </si>
  <si>
    <t xml:space="preserve">Disponent S*, Werk 1100, mit Planaufträgen, ohne erledigte; Eckendtermin bis Ende laufende KW (inkl. Sa/So)</t>
  </si>
  <si>
    <t xml:space="preserve">Quelle: Shopfloorboard.docx + Bestätigung Fabio 15.10.2026; zusätzlicher Bucket «Tag» (nur SEH: Eckendtermin bis Stichtag) -&gt; Feld «Offene Tagesmenge / Tagesziel», Key in Config prüfen</t>
  </si>
  <si>
    <t xml:space="preserve">Produzierte Tagesmenge</t>
  </si>
  <si>
    <t xml:space="preserve">seh.prod</t>
  </si>
  <si>
    <t xml:space="preserve">Tageswert</t>
  </si>
  <si>
    <t xml:space="preserve">COOIS, Liste Auftragsköpfe, Layout /SEH 001, nur Fertigungsaufträge</t>
  </si>
  <si>
    <t xml:space="preserve">Gelieferte Menge = Wareneingangsmenge des Auftrags (AFPO-WEMNG, bestätigt TL)</t>
  </si>
  <si>
    <t xml:space="preserve">API_PROD_ORDER_CONFIRMATION_2_SRV / API_MATERIAL_DOCUMENT_SRV</t>
  </si>
  <si>
    <t xml:space="preserve">COOIS,</t>
  </si>
  <si>
    <t xml:space="preserve">Gelieferte</t>
  </si>
  <si>
    <t xml:space="preserve">Disponent S*, Istendtermin = vorheriger Arbeitstag bis Vortag (Montag: Fr+Sa+So)</t>
  </si>
  <si>
    <t xml:space="preserve">seh.fpy</t>
  </si>
  <si>
    <t xml:space="preserve">%</t>
  </si>
  <si>
    <t xml:space="preserve">Fiori/OData C_MFGORDERITEMSCRAPAMTQRY_CDS (P_DisplayCurrency='CHF', P_ExchangeRateType='M')</t>
  </si>
  <si>
    <t xml:space="preserve">Summe MfgOrderItemGoodsReceiptQty / Summe MfgOrderItemPlannedTotalQty x 100 (WE / Gesamtmenge)</t>
  </si>
  <si>
    <t xml:space="preserve">OData, kein ABAP nötig</t>
  </si>
  <si>
    <t xml:space="preserve">C_MFGORDERITEMSCRAPAMTQRY</t>
  </si>
  <si>
    <t xml:space="preserve">GoodsReceiptQty / PlannedTotalQty</t>
  </si>
  <si>
    <t xml:space="preserve">ProductionPlant 1100; MRPController S*; Istendtermin (MfgOrderConfirmedEndDate) in KW des Vortags (Montag: Vorwoche)</t>
  </si>
  <si>
    <t xml:space="preserve">Entscheid Fabio 15.10.: FPY nur SEH aus SAP (kein MES). Kontrolle KW38-41: 99.8 / 99.7 / 97.1 / 99.5 %. TR5/TX/DW bleiben MES</t>
  </si>
  <si>
    <t xml:space="preserve">Rückstandsliste SEH</t>
  </si>
  <si>
    <t xml:space="preserve">VkNr</t>
  </si>
  <si>
    <t xml:space="preserve">rs_seh.vknr</t>
  </si>
  <si>
    <t xml:space="preserve">Liste (1 Zeile pro KA-Position)</t>
  </si>
  <si>
    <t xml:space="preserve">? (Trafag-spezifisch)</t>
  </si>
  <si>
    <t xml:space="preserve">zu klären – Verkaufsnummer?</t>
  </si>
  <si>
    <t xml:space="preserve">API_SALES_ORDER_SRV, API_PRODUCTION_ORDER_2_SRV, API_PLANNED_ORDERS</t>
  </si>
  <si>
    <t xml:space="preserve">Disponent(en) SEH – siehe Blatt «Disponenten» (Feld DISPO in MARC / AFKO / PLAF)</t>
  </si>
  <si>
    <t xml:space="preserve">Typencode</t>
  </si>
  <si>
    <t xml:space="preserve">rs_seh.typencode</t>
  </si>
  <si>
    <t xml:space="preserve">MARA / Klassifizierung</t>
  </si>
  <si>
    <t xml:space="preserve">MATNR bzw. Merkmal Typencode – zu klären</t>
  </si>
  <si>
    <t xml:space="preserve">Eckendtermin</t>
  </si>
  <si>
    <t xml:space="preserve">rs_seh.eckendtermin</t>
  </si>
  <si>
    <t xml:space="preserve">AFKO</t>
  </si>
  <si>
    <t xml:space="preserve">GLTRP</t>
  </si>
  <si>
    <t xml:space="preserve">Wunschtermin</t>
  </si>
  <si>
    <t xml:space="preserve">rs_seh.wunschtermin</t>
  </si>
  <si>
    <t xml:space="preserve">VBEP / VBAK</t>
  </si>
  <si>
    <t xml:space="preserve">VBEP-EDATU (1. Einteilung) bzw. VBAK-VDATU</t>
  </si>
  <si>
    <t xml:space="preserve">Kundenauftrag</t>
  </si>
  <si>
    <t xml:space="preserve">rs_seh.ka_nr</t>
  </si>
  <si>
    <t xml:space="preserve">VBAP</t>
  </si>
  <si>
    <t xml:space="preserve">VBELN</t>
  </si>
  <si>
    <t xml:space="preserve">Position</t>
  </si>
  <si>
    <t xml:space="preserve">rs_seh.ka_pos</t>
  </si>
  <si>
    <t xml:space="preserve">POSNR</t>
  </si>
  <si>
    <t xml:space="preserve">Kundenname</t>
  </si>
  <si>
    <t xml:space="preserve">rs_seh.kunde</t>
  </si>
  <si>
    <t xml:space="preserve">VBAK → KNA1</t>
  </si>
  <si>
    <t xml:space="preserve">KUNNR → NAME1</t>
  </si>
  <si>
    <t xml:space="preserve">Kundenbestellmenge</t>
  </si>
  <si>
    <t xml:space="preserve">rs_seh.bestellmenge</t>
  </si>
  <si>
    <t xml:space="preserve">KWMENG</t>
  </si>
  <si>
    <t xml:space="preserve">Pl-Auf</t>
  </si>
  <si>
    <t xml:space="preserve">rs_seh.pl_auf</t>
  </si>
  <si>
    <t xml:space="preserve">PLAF</t>
  </si>
  <si>
    <t xml:space="preserve">PLNUM (Bezug KDAUF/KDPOS)</t>
  </si>
  <si>
    <t xml:space="preserve">Fertigungsauftrag</t>
  </si>
  <si>
    <t xml:space="preserve">rs_seh.fa</t>
  </si>
  <si>
    <t xml:space="preserve">AFPO</t>
  </si>
  <si>
    <t xml:space="preserve">AUFNR (Bezug KDAUF/KDPOS)</t>
  </si>
  <si>
    <t xml:space="preserve">Datum WE geplant</t>
  </si>
  <si>
    <t xml:space="preserve">rs_seh.we_geplant</t>
  </si>
  <si>
    <t xml:space="preserve">AFKO / PLAF</t>
  </si>
  <si>
    <t xml:space="preserve">GLTRP bzw. PEDTR – zu klären</t>
  </si>
  <si>
    <t xml:space="preserve">Abteilung TR5</t>
  </si>
  <si>
    <t xml:space="preserve">tr5.vorrat_total</t>
  </si>
  <si>
    <t xml:space="preserve">ZC22 (Programm ZM_OFFENE_FAUF, Annahme aus Variantenkatalog), Variante /PPA EKX ALLE «Aufträge EKx alle VkNr»</t>
  </si>
  <si>
    <t xml:space="preserve">Variante /PPA EKX ALLE: Disponent EK*, Eckendtermin ab 13.10.2025; alle offenen, ohne Endgrenze</t>
  </si>
  <si>
    <t xml:space="preserve">tr5.vorrat_3m</t>
  </si>
  <si>
    <t xml:space="preserve">Variante /PPA EKX ALLE: Disponent EK*, Eckendtermin ab 13.10.2025; Eckendtermin bis Ende übernächster Monat (Annahme analog)</t>
  </si>
  <si>
    <t xml:space="preserve">tr5.vorrat_2m</t>
  </si>
  <si>
    <t xml:space="preserve">Variante /PPA EKX ALLE: Disponent EK*, Eckendtermin ab 13.10.2025; Eckendtermin bis Ende Folgemonat (Annahme analog)</t>
  </si>
  <si>
    <t xml:space="preserve">tr5.vorrat_1m</t>
  </si>
  <si>
    <t xml:space="preserve">Variante /PPA EKX ALLE: Disponent EK*, Eckendtermin ab 13.10.2025; Eckendtermin bis Ende laufender Monat</t>
  </si>
  <si>
    <t xml:space="preserve">tr5.offen_kw</t>
  </si>
  <si>
    <t xml:space="preserve">Variante /PPA EKX ALLE: Disponent EK*, Eckendtermin ab 13.10.2025; Eckendtermin bis Ende laufende KW (inkl. Sa/So)</t>
  </si>
  <si>
    <t xml:space="preserve">tr5.prod</t>
  </si>
  <si>
    <t xml:space="preserve">ZC27 (ZPP_RM_MENGEN), Variante /PPA EXX72</t>
  </si>
  <si>
    <t xml:space="preserve">Summe Gutmenge LMNGA (Logik wie Logistik)</t>
  </si>
  <si>
    <t xml:space="preserve">ZC27</t>
  </si>
  <si>
    <t xml:space="preserve">Summe</t>
  </si>
  <si>
    <t xml:space="preserve">Arbeitsplatz EDF72, Werk 1100, Typencode 8*, ERSDA = vorheriger Arbeitstag bis Vortag (Montag: Fr+Sa+So)</t>
  </si>
  <si>
    <t xml:space="preserve">tr5.fpy</t>
  </si>
  <si>
    <t xml:space="preserve">MES-Report trch-webapp-report &gt; Yieldgesamt &gt; «Transmitter Yield Gesamt Pro Tag und Sparte Detail»</t>
  </si>
  <si>
    <t xml:space="preserve">Yield gesamt pro Tag</t>
  </si>
  <si>
    <t xml:space="preserve">Kommt nicht aus SAP – MES-DB (DB-User via Marco Di Menco)</t>
  </si>
  <si>
    <t xml:space="preserve">MES-Report</t>
  </si>
  <si>
    <t xml:space="preserve">Yield</t>
  </si>
  <si>
    <t xml:space="preserve">Datum; Messplätze MP2, MP3, MP7, MP8, MP10, MP11, MP12, MP13, MP14, MP15</t>
  </si>
  <si>
    <t xml:space="preserve">Quelle: Dokument Shopfloorboard.docx (TL, 15.10.2026)</t>
  </si>
  <si>
    <t xml:space="preserve">Rückstandsliste TR5</t>
  </si>
  <si>
    <t xml:space="preserve">rs_tr5.vknr</t>
  </si>
  <si>
    <t xml:space="preserve">Disponent(en) TR5 – siehe Blatt «Disponenten» (Feld DISPO in MARC / AFKO / PLAF)</t>
  </si>
  <si>
    <t xml:space="preserve">rs_tr5.typencode</t>
  </si>
  <si>
    <t xml:space="preserve">rs_tr5.eckendtermin</t>
  </si>
  <si>
    <t xml:space="preserve">rs_tr5.wunschtermin</t>
  </si>
  <si>
    <t xml:space="preserve">rs_tr5.ka_nr</t>
  </si>
  <si>
    <t xml:space="preserve">rs_tr5.ka_pos</t>
  </si>
  <si>
    <t xml:space="preserve">rs_tr5.kunde</t>
  </si>
  <si>
    <t xml:space="preserve">rs_tr5.bestellmenge</t>
  </si>
  <si>
    <t xml:space="preserve">rs_tr5.pl_auf</t>
  </si>
  <si>
    <t xml:space="preserve">rs_tr5.fa</t>
  </si>
  <si>
    <t xml:space="preserve">rs_tr5.we_geplant</t>
  </si>
  <si>
    <t xml:space="preserve">Abteilung TX</t>
  </si>
  <si>
    <t xml:space="preserve">tx.vorrat_total</t>
  </si>
  <si>
    <t xml:space="preserve">VBAP / VBEP (+VBUP Status)</t>
  </si>
  <si>
    <t xml:space="preserve">offene Menge (VBEP-BMENG/WMENG abzgl. geliefert), Termin VBEP-EDATU</t>
  </si>
  <si>
    <t xml:space="preserve">Disponent(en) TX – siehe Blatt «Disponenten» (Feld DISPO in MARC / AFKO / PLAF)</t>
  </si>
  <si>
    <t xml:space="preserve">tx.vorrat_3m</t>
  </si>
  <si>
    <t xml:space="preserve">tx.vorrat_2m</t>
  </si>
  <si>
    <t xml:space="preserve">tx.vorrat_1m</t>
  </si>
  <si>
    <t xml:space="preserve">tx.offen_kw</t>
  </si>
  <si>
    <t xml:space="preserve">Planmenge nächste 5 AT</t>
  </si>
  <si>
    <t xml:space="preserve">tx.plan5</t>
  </si>
  <si>
    <t xml:space="preserve">PLAF / AFKO</t>
  </si>
  <si>
    <t xml:space="preserve">PLAF-GSMNG, PLAF-PEDTR bzw. AFKO-GAMNG, AFKO-GLTRP</t>
  </si>
  <si>
    <t xml:space="preserve">API_PLANNED_ORDERS / API_PRODUCTION_ORDER_2_SRV</t>
  </si>
  <si>
    <t xml:space="preserve">tx.prod</t>
  </si>
  <si>
    <t xml:space="preserve">AFRU (Rückmeldungen) bzw. MSEG BWART 101</t>
  </si>
  <si>
    <t xml:space="preserve">Gutmenge AFRU-LMNGA pro Buchungsdatum BUDAT, Bezug AFKO-DISPO</t>
  </si>
  <si>
    <t xml:space="preserve">Disponenten TX</t>
  </si>
  <si>
    <t xml:space="preserve">Neu SAP statt MES – in der App-Konfiguration planned_source auf sap ändern</t>
  </si>
  <si>
    <t xml:space="preserve">Produziert Schicht 1</t>
  </si>
  <si>
    <t xml:space="preserve">tx.prod_s1</t>
  </si>
  <si>
    <t xml:space="preserve">Disponenten TX + Schicht 1 über Rückmeldezeit (AFRU-ISDZ/IEDZ)</t>
  </si>
  <si>
    <t xml:space="preserve">Schichtzuordnung über Uhrzeit – prüfen; Neu SAP statt MES – in der App-Konfiguration planned_source auf sap ändern</t>
  </si>
  <si>
    <t xml:space="preserve">Produziert Schicht 2</t>
  </si>
  <si>
    <t xml:space="preserve">tx.prod_s2</t>
  </si>
  <si>
    <t xml:space="preserve">Disponenten TX + Schicht 2 über Rückmeldezeit (AFRU-ISDZ/IEDZ)</t>
  </si>
  <si>
    <t xml:space="preserve">tx.fpy</t>
  </si>
  <si>
    <t xml:space="preserve">– (MES-Datenbank)</t>
  </si>
  <si>
    <t xml:space="preserve">–</t>
  </si>
  <si>
    <t xml:space="preserve">Rückstandsliste TX</t>
  </si>
  <si>
    <t xml:space="preserve">rs_tx.vknr</t>
  </si>
  <si>
    <t xml:space="preserve">rs_tx.typencode</t>
  </si>
  <si>
    <t xml:space="preserve">rs_tx.eckendtermin</t>
  </si>
  <si>
    <t xml:space="preserve">rs_tx.wunschtermin</t>
  </si>
  <si>
    <t xml:space="preserve">rs_tx.ka_nr</t>
  </si>
  <si>
    <t xml:space="preserve">rs_tx.ka_pos</t>
  </si>
  <si>
    <t xml:space="preserve">rs_tx.kunde</t>
  </si>
  <si>
    <t xml:space="preserve">rs_tx.bestellmenge</t>
  </si>
  <si>
    <t xml:space="preserve">rs_tx.pl_auf</t>
  </si>
  <si>
    <t xml:space="preserve">rs_tx.fa</t>
  </si>
  <si>
    <t xml:space="preserve">rs_tx.we_geplant</t>
  </si>
  <si>
    <t xml:space="preserve">Abteilung DW</t>
  </si>
  <si>
    <t xml:space="preserve">dw.vorrat_total</t>
  </si>
  <si>
    <t xml:space="preserve">Disponent(en) DW – siehe Blatt «Disponenten» (Feld DISPO in MARC / AFKO / PLAF)</t>
  </si>
  <si>
    <t xml:space="preserve">dw.vorrat_3m</t>
  </si>
  <si>
    <t xml:space="preserve">dw.vorrat_2m</t>
  </si>
  <si>
    <t xml:space="preserve">dw.vorrat_1m</t>
  </si>
  <si>
    <t xml:space="preserve">dw.offen_kw</t>
  </si>
  <si>
    <t xml:space="preserve">Produzierte Tagesmenge DL790</t>
  </si>
  <si>
    <t xml:space="preserve">dw.prod</t>
  </si>
  <si>
    <t xml:space="preserve">Arbeitsplatz DL790 (AFRU-ARBID → CRHD-ARBPL)</t>
  </si>
  <si>
    <t xml:space="preserve">DL790 vermutlich Arbeitsplatz – prüfen; Neu SAP statt MES – in der App-Konfiguration planned_source auf sap ändern</t>
  </si>
  <si>
    <t xml:space="preserve">Lieferbereite Tagesmenge DLQ72</t>
  </si>
  <si>
    <t xml:space="preserve">dw.lieferbereit</t>
  </si>
  <si>
    <t xml:space="preserve">MARD / LIPS</t>
  </si>
  <si>
    <t xml:space="preserve">Bestand Lagerort DLQ72 (MARD-LABST) – zu klären</t>
  </si>
  <si>
    <t xml:space="preserve">API_MATERIAL_STOCK_SRV</t>
  </si>
  <si>
    <t xml:space="preserve">dw.fpy</t>
  </si>
  <si>
    <t xml:space="preserve">Rückstandsliste DW</t>
  </si>
  <si>
    <t xml:space="preserve">rs_dw.vknr</t>
  </si>
  <si>
    <t xml:space="preserve">rs_dw.typencode</t>
  </si>
  <si>
    <t xml:space="preserve">rs_dw.eckendtermin</t>
  </si>
  <si>
    <t xml:space="preserve">rs_dw.wunschtermin</t>
  </si>
  <si>
    <t xml:space="preserve">rs_dw.ka_nr</t>
  </si>
  <si>
    <t xml:space="preserve">rs_dw.ka_pos</t>
  </si>
  <si>
    <t xml:space="preserve">rs_dw.kunde</t>
  </si>
  <si>
    <t xml:space="preserve">rs_dw.bestellmenge</t>
  </si>
  <si>
    <t xml:space="preserve">rs_dw.pl_auf</t>
  </si>
  <si>
    <t xml:space="preserve">rs_dw.fa</t>
  </si>
  <si>
    <t xml:space="preserve">rs_dw.we_geplant</t>
  </si>
  <si>
    <t xml:space="preserve">PPD – Produktionsplanung / Dispo</t>
  </si>
  <si>
    <t xml:space="preserve">Verzug SEH</t>
  </si>
  <si>
    <t xml:space="preserve">ppd.verzug_seh</t>
  </si>
  <si>
    <t xml:space="preserve">AFKO / AFPO</t>
  </si>
  <si>
    <t xml:space="preserve">offene FA-Menge mit Eckendtermin AFKO-GLTRP &lt; heute</t>
  </si>
  <si>
    <t xml:space="preserve">API_PRODUCTION_ORDER_2_SRV</t>
  </si>
  <si>
    <t xml:space="preserve">Verzug MTS</t>
  </si>
  <si>
    <t xml:space="preserve">ppd.verzug_mts</t>
  </si>
  <si>
    <t xml:space="preserve">leer – kein MTS-Disponent</t>
  </si>
  <si>
    <t xml:space="preserve">Verzug TR5</t>
  </si>
  <si>
    <t xml:space="preserve">ppd.verzug_tr5</t>
  </si>
  <si>
    <t xml:space="preserve">Verzug TX</t>
  </si>
  <si>
    <t xml:space="preserve">ppd.verzug_tx</t>
  </si>
  <si>
    <t xml:space="preserve">Verzug DW</t>
  </si>
  <si>
    <t xml:space="preserve">ppd.verzug_dw</t>
  </si>
  <si>
    <t xml:space="preserve">Terminverbesserungsanfragen Verkauf (TVAV)</t>
  </si>
  <si>
    <t xml:space="preserve">tvav.vknr</t>
  </si>
  <si>
    <t xml:space="preserve">Lookup: Verkauf Innendienst erfasst KA/Pos. oder FA, restliche Felder werden live aus SAP gelesen</t>
  </si>
  <si>
    <t xml:space="preserve">Quelle Verkauf Innendienst (nicht PPD). Braucht lesenden SAP-Zugriff (OData) statt nur 04:00-Push. Festgelegt 14.10.2026</t>
  </si>
  <si>
    <t xml:space="preserve">tvav.typencode</t>
  </si>
  <si>
    <t xml:space="preserve">tvav.ka_nr</t>
  </si>
  <si>
    <t xml:space="preserve">tvav.ka_pos</t>
  </si>
  <si>
    <t xml:space="preserve">Auftragsmenge</t>
  </si>
  <si>
    <t xml:space="preserve">tvav.menge</t>
  </si>
  <si>
    <t xml:space="preserve">tvav.fa</t>
  </si>
  <si>
    <t xml:space="preserve">Bestätigter Termin (SAP)</t>
  </si>
  <si>
    <t xml:space="preserve">tvav.termin_sap</t>
  </si>
  <si>
    <t xml:space="preserve">VBEP</t>
  </si>
  <si>
    <t xml:space="preserve">EDATU mit BMENG &gt; 0</t>
  </si>
  <si>
    <t xml:space="preserve">PPA-Angebote Verkauf (PPA-AV)</t>
  </si>
  <si>
    <t xml:space="preserve">angebote.ka_nr</t>
  </si>
  <si>
    <t xml:space="preserve">angebote.ka_pos</t>
  </si>
  <si>
    <t xml:space="preserve">Logistik</t>
  </si>
  <si>
    <t xml:space="preserve">TR5 Menge MLE01</t>
  </si>
  <si>
    <t xml:space="preserve">logistik.tr5_mle01</t>
  </si>
  <si>
    <t xml:space="preserve">AFRU (Logik wie ZC27 = Programm ZPP_RM_MENGEN)</t>
  </si>
  <si>
    <t xml:space="preserve">Summe LMNGA (Gutmenge) aus AFRU; nur Rückmeldungen auf dem letzten Vorgang des Auftrags (höchste AFVC-VORNR) an den gewählten Arbeitsplätzen</t>
  </si>
  <si>
    <t xml:space="preserve">Empfehlung: Selektion aus ZPP_RM_MENGEN in einen gemeinsamen Funktionsbaustein auslagern (ZC27 und Push-Job nutzen dieselbe Logik)</t>
  </si>
  <si>
    <t xml:space="preserve">AFRU, AFVC, CRHD, AFPO</t>
  </si>
  <si>
    <t xml:space="preserve">LMNGA</t>
  </si>
  <si>
    <t xml:space="preserve">WERKS = 1100; ARBID über CRHD (Werk + ARBPL MLE01); ERSDA (Erfassungsdatum, nicht BUDAT) = vorheriger Arbeitstag bis Vortag (Montag: Fr + Sa + So); STOKZ = ' ' und STZHL = 0 (Original und Stornosatz fallen weg); kein Filter ERZET/ZZTYP</t>
  </si>
  <si>
    <t xml:space="preserve">Logik von Ingo in T76 aus ZPP_RM_MENGEN gelesen (15.10.2026); P76 identisch (Fabio 15.10.). Kontrollwert ERSDA 13.10.2026: 673 Stk.</t>
  </si>
  <si>
    <t xml:space="preserve">TR5 Menge MLE02</t>
  </si>
  <si>
    <t xml:space="preserve">logistik.tr5_mle02</t>
  </si>
  <si>
    <t xml:space="preserve">WERKS = 1100; ARBID über CRHD (Werk + ARBPL MLE02); ERSDA (Erfassungsdatum, nicht BUDAT) = vorheriger Arbeitstag bis Vortag (Montag: Fr + Sa + So); STOKZ = ' ' und STZHL = 0 (Original und Stornosatz fallen weg); kein Filter ERZET/ZZTYP</t>
  </si>
  <si>
    <t xml:space="preserve">Logik von Ingo in T76 aus ZPP_RM_MENGEN gelesen (15.10.2026); P76 identisch (Fabio 15.10.). Kontrollwert ERSDA 13.10.2026: 526 Stk.</t>
  </si>
  <si>
    <t xml:space="preserve">DW Menge MLE04</t>
  </si>
  <si>
    <t xml:space="preserve">logistik.dw_mle04</t>
  </si>
  <si>
    <t xml:space="preserve">WERKS = 1100; ARBID über CRHD (Werk + ARBPL MLE04); ERSDA (Erfassungsdatum, nicht BUDAT) = vorheriger Arbeitstag bis Vortag (Montag: Fr + Sa + So); STOKZ = ' ' und STZHL = 0 (Original und Stornosatz fallen weg); kein Filter ERZET/ZZTYP</t>
  </si>
  <si>
    <t xml:space="preserve">Logik von Ingo in T76 aus ZPP_RM_MENGEN gelesen (15.10.2026); P76 identisch (Fabio 15.10.). Kontrollwert ERSDA 13.10.2026: 542 Stk.</t>
  </si>
  <si>
    <t xml:space="preserve">TX Menge MLE08 / MLE09</t>
  </si>
  <si>
    <t xml:space="preserve">logistik.tx_mle08</t>
  </si>
  <si>
    <t xml:space="preserve">WERKS = 1100; ARBID über CRHD (Werk + ARBPL MLE08, MLE09 (summiert)); ERSDA (Erfassungsdatum, nicht BUDAT) = vorheriger Arbeitstag bis Vortag (Montag: Fr + Sa + So); STOKZ = ' ' und STZHL = 0 (Original und Stornosatz fallen weg); kein Filter ERZET/ZZTYP</t>
  </si>
  <si>
    <t xml:space="preserve">Logik von Ingo in T76 aus ZPP_RM_MENGEN gelesen (15.10.2026); P76 identisch (Fabio 15.10.). Kontrollwert ERSDA 13.10.2026: 1065 Stk.</t>
  </si>
  <si>
    <t xml:space="preserve">TX Menge MLM01</t>
  </si>
  <si>
    <t xml:space="preserve">logistik.tx_mlm01</t>
  </si>
  <si>
    <t xml:space="preserve">WERKS = 1100; ARBID über CRHD (Werk + ARBPL MLM01); ERSDA (Erfassungsdatum, nicht BUDAT) = vorheriger Arbeitstag bis Vortag (Montag: Fr + Sa + So); STOKZ = ' ' und STZHL = 0 (Original und Stornosatz fallen weg); kein Filter ERZET/ZZTYP</t>
  </si>
  <si>
    <t xml:space="preserve">Logik von Ingo in T76 aus ZPP_RM_MENGEN gelesen (15.10.2026); P76 identisch (Fabio 15.10.). Kontrollwert 13.10. im Excel falsch übertragen (673 = MLE01), korrekten Wert beim ersten Testlauf aus ZC27 nehmen.</t>
  </si>
  <si>
    <t xml:space="preserve">Offene K-Auf</t>
  </si>
  <si>
    <t xml:space="preserve">logistik.offene_kauf</t>
  </si>
  <si>
    <t xml:space="preserve">VBAK / VBUK</t>
  </si>
  <si>
    <t xml:space="preserve">offene Kundenaufträge (Anzahl) – zu klären</t>
  </si>
  <si>
    <t xml:space="preserve">API_SALES_ORDER_SRV</t>
  </si>
  <si>
    <t xml:space="preserve">Kommunikationstool Einkauf ↔ Produktion / PPD</t>
  </si>
  <si>
    <t xml:space="preserve">WE aktuell gem. SAP</t>
  </si>
  <si>
    <t xml:space="preserve">einkauf.we_sap</t>
  </si>
  <si>
    <t xml:space="preserve">Liste</t>
  </si>
  <si>
    <t xml:space="preserve">EKET</t>
  </si>
  <si>
    <t xml:space="preserve">EINDT</t>
  </si>
  <si>
    <t xml:space="preserve">API_PURCHASEORDER_PROCESS_SRV</t>
  </si>
  <si>
    <t xml:space="preserve">Lookup über Bestellnummer (analog TVAV), zu klären</t>
  </si>
  <si>
    <t xml:space="preserve">Einkauf Fehlteile läuft bereits über ZD05-Import im Dashboard; ZD05 könnte statt Drag&amp;Drop täglich automatisch geliefert werden</t>
  </si>
  <si>
    <t xml:space="preserve">Bestellnummer</t>
  </si>
  <si>
    <t xml:space="preserve">einkauf.bestellnr</t>
  </si>
  <si>
    <t xml:space="preserve">EKKO</t>
  </si>
  <si>
    <t xml:space="preserve">EBELN</t>
  </si>
  <si>
    <t xml:space="preserve">Verkauf</t>
  </si>
  <si>
    <t xml:space="preserve">AE aktuell</t>
  </si>
  <si>
    <t xml:space="preserve">verkauf.ae_aktuell</t>
  </si>
  <si>
    <t xml:space="preserve">CHF</t>
  </si>
  <si>
    <t xml:space="preserve">Tageswert (Monat kumuliert)</t>
  </si>
  <si>
    <t xml:space="preserve">CO-PA (kalkulatorisch), KE30-Bericht Z0001-000006 «AE/NE/AB ein Jahr»</t>
  </si>
  <si>
    <t xml:space="preserve">kein OData; CE1&lt;Ergebnisbereich&gt; per CDS/ABAP</t>
  </si>
  <si>
    <t xml:space="preserve">CE1&lt;Ergebnisbereich&gt;</t>
  </si>
  <si>
    <t xml:space="preserve">Wertfelder Nettoerlös-Schema</t>
  </si>
  <si>
    <t xml:space="preserve">Satzart A, Buchungskreis 1100, alle Produktsparten</t>
  </si>
  <si>
    <t xml:space="preserve">Abgleich 14.10.2026 exakt: 9/2026: 6'531'197.94 = Dashboard</t>
  </si>
  <si>
    <t xml:space="preserve">Umsatz IST</t>
  </si>
  <si>
    <t xml:space="preserve">verkauf.umsatz_ist</t>
  </si>
  <si>
    <t xml:space="preserve">Satzart F, Buchungskreis 1100, alle Produktsparten</t>
  </si>
  <si>
    <t xml:space="preserve">Abgleich 14.10.2026 exakt: 9/2026: 7'878'114.69 = Dashboard</t>
  </si>
  <si>
    <t xml:space="preserve">Geplanter Umsatz Monat (zc23)</t>
  </si>
  <si>
    <t xml:space="preserve">verkauf.umsatz_plan</t>
  </si>
  <si>
    <t xml:space="preserve">ZC23 (Z-Transaktion)</t>
  </si>
  <si>
    <t xml:space="preserve">zu klären</t>
  </si>
  <si>
    <t xml:space="preserve">kein OData gefunden</t>
  </si>
  <si>
    <t xml:space="preserve">ZC23</t>
  </si>
  <si>
    <t xml:space="preserve">zu</t>
  </si>
  <si>
    <t xml:space="preserve">in Klärung</t>
  </si>
  <si>
    <t xml:space="preserve">AE Abteilung TR5</t>
  </si>
  <si>
    <t xml:space="preserve">verkauf.ae_tr5</t>
  </si>
  <si>
    <t xml:space="preserve">C_SALESORDERITEMQRY_CDS (Fiori/OData, aktiv in P76)</t>
  </si>
  <si>
    <t xml:space="preserve">IncomingSalesOrdersNetAmtInDC (Auftragseingang), CHF, Kurstyp M</t>
  </si>
  <si>
    <t xml:space="preserve">OData /sap/opu/odata/sap/C_SALESORDERITEMQRY_CDS</t>
  </si>
  <si>
    <t xml:space="preserve">C_SALESORDERITEMQRY_CDS</t>
  </si>
  <si>
    <t xml:space="preserve">IncomingSalesOrdersNetAmtInDC</t>
  </si>
  <si>
    <t xml:space="preserve">+ Filter Abteilung: ProfitCenter / ProductGroup / Division zu klären (Disponent nicht in der Query)</t>
  </si>
  <si>
    <t xml:space="preserve">zurückgestellt</t>
  </si>
  <si>
    <t xml:space="preserve">Shopfloor zeigt nur DW und Transmitter</t>
  </si>
  <si>
    <t xml:space="preserve">AE Transmitter TX + TR5</t>
  </si>
  <si>
    <t xml:space="preserve">verkauf.ae_tx</t>
  </si>
  <si>
    <t xml:space="preserve">Satzart A, Buchungskreis 1100, Produktsparte 0005 (+0006)</t>
  </si>
  <si>
    <t xml:space="preserve">Abgleich 14.10.2026 exakt: 9/2026: 2'684'433.17 = Dashboard</t>
  </si>
  <si>
    <t xml:space="preserve">AE Abteilung DW</t>
  </si>
  <si>
    <t xml:space="preserve">verkauf.ae_dw</t>
  </si>
  <si>
    <t xml:space="preserve">Satzart A, Buchungskreis 1100, Produktsparte 0003</t>
  </si>
  <si>
    <t xml:space="preserve">Abgleich 14.10.2026 exakt: 9/2026: 2'768'728.51 = Dashboard</t>
  </si>
  <si>
    <t xml:space="preserve">Umsatz Abteilung TR5</t>
  </si>
  <si>
    <t xml:space="preserve">verkauf.u_tr5</t>
  </si>
  <si>
    <t xml:space="preserve">C_SALESVOLUMEANALYTICSQRY_CDS (Fiori/OData, aktiv in P76)</t>
  </si>
  <si>
    <t xml:space="preserve">NetSlsVolumeNetAmtInDC (Nettoumsatz), CHF, Kurstyp M</t>
  </si>
  <si>
    <t xml:space="preserve">OData /sap/opu/odata/sap/C_SALESVOLUMEANALYTICSQRY_CDS</t>
  </si>
  <si>
    <t xml:space="preserve">C_SALESVOLUMEANALYTICSQRY_CDS</t>
  </si>
  <si>
    <t xml:space="preserve">NetSlsVolumeNetAmtInDC</t>
  </si>
  <si>
    <t xml:space="preserve">+ Filter Abteilung: ProfitCenter / ProductHierarchyNode / Division zu klären (Disponent nicht in der Query)</t>
  </si>
  <si>
    <t xml:space="preserve">Shopfloor zeigt nur DW (inkl. DS) und Transmitter (TR5+TX)</t>
  </si>
  <si>
    <t xml:space="preserve">Umsatz Transmitter TX + TR5</t>
  </si>
  <si>
    <t xml:space="preserve">verkauf.u_tx</t>
  </si>
  <si>
    <t xml:space="preserve">Satzart F, Buchungskreis 1100, Produktsparte 0005 (+0006)</t>
  </si>
  <si>
    <t xml:space="preserve">Abgleich 14.10.2026 exakt: 9/2026: 2'940'107.89 = Dashboard</t>
  </si>
  <si>
    <t xml:space="preserve">Umsatz Abteilung DW</t>
  </si>
  <si>
    <t xml:space="preserve">verkauf.u_dw</t>
  </si>
  <si>
    <t xml:space="preserve">Satzart F, Buchungskreis 1100, Produktsparte 0003</t>
  </si>
  <si>
    <t xml:space="preserve">Abgleich 14.10.2026 exakt: 9/2026: 3'613'791.49 = Dashboard</t>
  </si>
  <si>
    <t xml:space="preserve">Gutschriften</t>
  </si>
  <si>
    <t xml:space="preserve">verkauf.gutschriften</t>
  </si>
  <si>
    <t xml:space="preserve">CustCrdtMemoNetAmtInDspCrcy (Gutschriften)</t>
  </si>
  <si>
    <t xml:space="preserve">OData</t>
  </si>
  <si>
    <t xml:space="preserve">CustCrdtMemoNetAmtInDspCrcy</t>
  </si>
  <si>
    <t xml:space="preserve">SalesOrganization 1100, laufender Monat</t>
  </si>
  <si>
    <t xml:space="preserve">CZ</t>
  </si>
  <si>
    <t xml:space="preserve">cz.vorrat_total</t>
  </si>
  <si>
    <t xml:space="preserve">Disponent(en) CZ – siehe Blatt «Disponenten» (Feld DISPO in MARC / AFKO / PLAF)</t>
  </si>
  <si>
    <t xml:space="preserve">CZ vorerst zurückgestellt (Entscheid Fabio 14.10.2026)</t>
  </si>
  <si>
    <t xml:space="preserve">cz.vorrat_3m</t>
  </si>
  <si>
    <t xml:space="preserve">cz.vorrat_2m</t>
  </si>
  <si>
    <t xml:space="preserve">cz.vorrat_1m</t>
  </si>
  <si>
    <t xml:space="preserve">cz.offen_kw</t>
  </si>
  <si>
    <t xml:space="preserve">Druckschalter 900-986</t>
  </si>
  <si>
    <t xml:space="preserve">cz.p_ds900</t>
  </si>
  <si>
    <t xml:space="preserve">Disponent 019</t>
  </si>
  <si>
    <t xml:space="preserve">Druckschalter 987/988</t>
  </si>
  <si>
    <t xml:space="preserve">cz.p_ds987</t>
  </si>
  <si>
    <t xml:space="preserve">Disponent 020</t>
  </si>
  <si>
    <t xml:space="preserve">Picostaten 9B0-9K4</t>
  </si>
  <si>
    <t xml:space="preserve">cz.p_pico</t>
  </si>
  <si>
    <t xml:space="preserve">Disponenten 022, 027</t>
  </si>
  <si>
    <t xml:space="preserve">Picostaten 9Rx</t>
  </si>
  <si>
    <t xml:space="preserve">cz.p_pico9r</t>
  </si>
  <si>
    <t xml:space="preserve">Disponent 021</t>
  </si>
  <si>
    <t xml:space="preserve">Frostschutzstaten</t>
  </si>
  <si>
    <t xml:space="preserve">cz.p_frost</t>
  </si>
  <si>
    <t xml:space="preserve">Disponent 028</t>
  </si>
  <si>
    <t xml:space="preserve">Ministaten, Ambistaten</t>
  </si>
  <si>
    <t xml:space="preserve">cz.p_mini</t>
  </si>
  <si>
    <t xml:space="preserve">?</t>
  </si>
  <si>
    <t xml:space="preserve">Navistaten, Industaten</t>
  </si>
  <si>
    <t xml:space="preserve">cz.p_navi</t>
  </si>
  <si>
    <t xml:space="preserve">Picotherm</t>
  </si>
  <si>
    <t xml:space="preserve">cz.p_picotherm</t>
  </si>
  <si>
    <t xml:space="preserve">Disponent 023</t>
  </si>
  <si>
    <t xml:space="preserve">DTP 8180</t>
  </si>
  <si>
    <t xml:space="preserve">cz.p_dtp</t>
  </si>
  <si>
    <t xml:space="preserve">BG Elektronik Stecker</t>
  </si>
  <si>
    <t xml:space="preserve">cz.p_bg_stecker</t>
  </si>
  <si>
    <t xml:space="preserve">Disponent 024 (+ Material/Typ)</t>
  </si>
  <si>
    <t xml:space="preserve">BG Elektronik Kabel</t>
  </si>
  <si>
    <t xml:space="preserve">cz.p_bg_kabel</t>
  </si>
  <si>
    <t xml:space="preserve">BG Elektronik Print SF6</t>
  </si>
  <si>
    <t xml:space="preserve">cz.p_bg_print</t>
  </si>
  <si>
    <t xml:space="preserve">BG Mechanik</t>
  </si>
  <si>
    <t xml:space="preserve">cz.p_bg_mech</t>
  </si>
  <si>
    <t xml:space="preserve">Disponent 026</t>
  </si>
  <si>
    <t xml:space="preserve">BG für SF6 Geräte</t>
  </si>
  <si>
    <t xml:space="preserve">cz.p_bg_sf6</t>
  </si>
  <si>
    <t xml:space="preserve">Disponent 025</t>
  </si>
  <si>
    <t xml:space="preserve">Membranen</t>
  </si>
  <si>
    <t xml:space="preserve">cz.p_membranen</t>
  </si>
  <si>
    <t xml:space="preserve">Disponent 018</t>
  </si>
  <si>
    <t xml:space="preserve">cz.fpy</t>
  </si>
  <si>
    <t xml:space="preserve">Abteilung MTF</t>
  </si>
  <si>
    <t xml:space="preserve">Anlagenverfügbarkeit</t>
  </si>
  <si>
    <t xml:space="preserve">mtf.verfuegbarkeit</t>
  </si>
  <si>
    <t xml:space="preserve">QMEL / AFRU (PM)</t>
  </si>
  <si>
    <t xml:space="preserve">Ausfallzeiten aus Störmeldungen – prüfen, ob in SAP vorhanden</t>
  </si>
  <si>
    <t xml:space="preserve">API_MAINTNOTIFICATION</t>
  </si>
  <si>
    <t xml:space="preserve">Falls nicht in SAP: manuell erfassen; Neu SAP statt MES – in der App-Konfiguration planned_source auf sap ändern</t>
  </si>
  <si>
    <t xml:space="preserve">Sensorbestände SEH (SB)</t>
  </si>
  <si>
    <t xml:space="preserve">SE1+SE2 Stahlzellen (TR5)</t>
  </si>
  <si>
    <t xml:space="preserve">sensoren.se12</t>
  </si>
  <si>
    <t xml:space="preserve">WM-Bestand: LQUA (Quants), Anzeige LS24 / LX03 (Annahme, zu verifizieren)</t>
  </si>
  <si>
    <t xml:space="preserve">Summe LQUA-GESME (bzw. VERME = verfügbar) pro Material, Werk 1100, Lagernummer/Lagertyp zu klären</t>
  </si>
  <si>
    <t xml:space="preserve">kein Standard-API für WM-Quants; CDS-View oder RFC/Report nötig</t>
  </si>
  <si>
    <t xml:space="preserve">Materialien mit MARC-DISPO SE1, SE2; Lagertyp/Lagerplatz zu klären</t>
  </si>
  <si>
    <t xml:space="preserve">Fabio 14.10.2026: Bestände sind im WM. Offen: Lagernummer, Lagertyp, Gesamt- oder verfügbarer Bestand</t>
  </si>
  <si>
    <t xml:space="preserve">SL1, SL2, SL4 Stahlzellen (TX)</t>
  </si>
  <si>
    <t xml:space="preserve">sensoren.sl124</t>
  </si>
  <si>
    <t xml:space="preserve">Materialien mit MARC-DISPO SL1, SL2, SL4; Lagertyp/Lagerplatz zu klären</t>
  </si>
  <si>
    <t xml:space="preserve">davon SLx Batterie</t>
  </si>
  <si>
    <t xml:space="preserve">sensoren.slx_bat</t>
  </si>
  <si>
    <t xml:space="preserve">Materialien mit MARC-DISPO SL2, SL5 (BAT); Lagertyp/Lagerplatz zu klären</t>
  </si>
  <si>
    <t xml:space="preserve">SL3 Keramik-Anschlüsse</t>
  </si>
  <si>
    <t xml:space="preserve">sensoren.sl3</t>
  </si>
  <si>
    <t xml:space="preserve">Materialien mit MARC-DISPO SL3; Lagertyp/Lagerplatz zu klären</t>
  </si>
  <si>
    <t xml:space="preserve">Zuordnung Abteilung → SAP-Disponent (Werk 1100, Feld DISPO in MARC / AFKO / PLAF)</t>
  </si>
  <si>
    <t xml:space="preserve">Quelle: SAP-Liste «Disponent für Auftrag» (Screenshots Fabio, 13.10.2026). Zuordnung aus dem Namen abgeleitet. «prüfen» = bitte bestätigen. Übergabe täglich 04:00 Uhr.</t>
  </si>
  <si>
    <t xml:space="preserve">Abteilung</t>
  </si>
  <si>
    <t xml:space="preserve">Disponenten (Werk 1100)</t>
  </si>
  <si>
    <t xml:space="preserve">Anzahl</t>
  </si>
  <si>
    <t xml:space="preserve">SEH</t>
  </si>
  <si>
    <t xml:space="preserve">SB1, SB2, SB3, SB4, SB5, SE1, SE2, SE3, SE4, SK1, SK2, SK3, SL1, SL2, SL3, SL4, SL5, SPB</t>
  </si>
  <si>
    <t xml:space="preserve">TR5</t>
  </si>
  <si>
    <t xml:space="preserve">EK1, EK2, EK3, EK4, EK5, EK6, EK7, EK8, EK9, EKB</t>
  </si>
  <si>
    <t xml:space="preserve">TX</t>
  </si>
  <si>
    <t xml:space="preserve">EL1, EL2, EL3, EL4, EL5, EL6, EL7, EL8, EL9, ELE, ELP</t>
  </si>
  <si>
    <t xml:space="preserve">DW</t>
  </si>
  <si>
    <t xml:space="preserve">D10, D11, D12, D13, D20, D21, D22, D23, D30, D31, D40, DB1, DB2, DEF, DL6, DS1, DS2, DSN, DW1, DW2</t>
  </si>
  <si>
    <t xml:space="preserve">017, 018, 019, 020, 021, 022, 023, 024, 025, 026, 027, 028</t>
  </si>
  <si>
    <t xml:space="preserve">MTS</t>
  </si>
  <si>
    <t xml:space="preserve">leer – kein MTS-Disponent in SAP (nur App-Feld ppd.verzug_mts)</t>
  </si>
  <si>
    <t xml:space="preserve">Alle Disponenten aus der Liste</t>
  </si>
  <si>
    <t xml:space="preserve">Disp.</t>
  </si>
  <si>
    <t xml:space="preserve">Name</t>
  </si>
  <si>
    <t xml:space="preserve">Zuordnung</t>
  </si>
  <si>
    <t xml:space="preserve">001</t>
  </si>
  <si>
    <t xml:space="preserve">rot / Einkauf</t>
  </si>
  <si>
    <t xml:space="preserve">keine Abteilung</t>
  </si>
  <si>
    <t xml:space="preserve">002</t>
  </si>
  <si>
    <t xml:space="preserve">gun / Einkauf</t>
  </si>
  <si>
    <t xml:space="preserve">003</t>
  </si>
  <si>
    <t xml:space="preserve">mso / Einkauf</t>
  </si>
  <si>
    <t xml:space="preserve">004</t>
  </si>
  <si>
    <t xml:space="preserve">Betriebsmat/Einkau</t>
  </si>
  <si>
    <t xml:space="preserve">005</t>
  </si>
  <si>
    <t xml:space="preserve">wid / Einkauf</t>
  </si>
  <si>
    <t xml:space="preserve">010</t>
  </si>
  <si>
    <t xml:space="preserve">nad / Mechanik CH</t>
  </si>
  <si>
    <t xml:space="preserve">prüfen</t>
  </si>
  <si>
    <t xml:space="preserve">012</t>
  </si>
  <si>
    <t xml:space="preserve">PPD / Sensoren OEM</t>
  </si>
  <si>
    <t xml:space="preserve">prüfen (SEH?)</t>
  </si>
  <si>
    <t xml:space="preserve">013</t>
  </si>
  <si>
    <t xml:space="preserve">PPD / Sensoren int</t>
  </si>
  <si>
    <t xml:space="preserve">015</t>
  </si>
  <si>
    <t xml:space="preserve">sra / Masterdata</t>
  </si>
  <si>
    <t xml:space="preserve">016</t>
  </si>
  <si>
    <t xml:space="preserve">TL / Spedition</t>
  </si>
  <si>
    <t xml:space="preserve">017</t>
  </si>
  <si>
    <t xml:space="preserve">CZ / Typenschilder</t>
  </si>
  <si>
    <t xml:space="preserve">sicher</t>
  </si>
  <si>
    <t xml:space="preserve">018</t>
  </si>
  <si>
    <t xml:space="preserve">CZ / Membranen</t>
  </si>
  <si>
    <t xml:space="preserve">019</t>
  </si>
  <si>
    <t xml:space="preserve">CZ /Presso 900-986</t>
  </si>
  <si>
    <t xml:space="preserve">020</t>
  </si>
  <si>
    <t xml:space="preserve">CZ /Presso 987-988</t>
  </si>
  <si>
    <t xml:space="preserve">021</t>
  </si>
  <si>
    <t xml:space="preserve">CZ / Pico 9R5 VC</t>
  </si>
  <si>
    <t xml:space="preserve">022</t>
  </si>
  <si>
    <t xml:space="preserve">CZ / Pico 9X4 / BG</t>
  </si>
  <si>
    <t xml:space="preserve">023</t>
  </si>
  <si>
    <t xml:space="preserve">CZ / Thermo / BG</t>
  </si>
  <si>
    <t xml:space="preserve">024</t>
  </si>
  <si>
    <t xml:space="preserve">CZ / Elektr. / BG</t>
  </si>
  <si>
    <t xml:space="preserve">025</t>
  </si>
  <si>
    <t xml:space="preserve">CZ / DW-BG Montage</t>
  </si>
  <si>
    <t xml:space="preserve">026</t>
  </si>
  <si>
    <t xml:space="preserve">CZ / Mechanik / BG</t>
  </si>
  <si>
    <t xml:space="preserve">027</t>
  </si>
  <si>
    <t xml:space="preserve">CZ / Pico 9X0 / BG</t>
  </si>
  <si>
    <t xml:space="preserve">028</t>
  </si>
  <si>
    <t xml:space="preserve">CZ / Frost 990-993</t>
  </si>
  <si>
    <t xml:space="preserve">030</t>
  </si>
  <si>
    <t xml:space="preserve">PPD / Prod.einf</t>
  </si>
  <si>
    <t xml:space="preserve">031</t>
  </si>
  <si>
    <t xml:space="preserve">PPD / Samples</t>
  </si>
  <si>
    <t xml:space="preserve">099</t>
  </si>
  <si>
    <t xml:space="preserve">Kuppelprodukte</t>
  </si>
  <si>
    <t xml:space="preserve">A99</t>
  </si>
  <si>
    <t xml:space="preserve">PPD / Status 99</t>
  </si>
  <si>
    <t xml:space="preserve">D10</t>
  </si>
  <si>
    <t xml:space="preserve">DW Standard</t>
  </si>
  <si>
    <t xml:space="preserve">D11</t>
  </si>
  <si>
    <t xml:space="preserve">DW mit Niederdruck</t>
  </si>
  <si>
    <t xml:space="preserve">D12</t>
  </si>
  <si>
    <t xml:space="preserve">DW mit Ventil-BG</t>
  </si>
  <si>
    <t xml:space="preserve">D13</t>
  </si>
  <si>
    <t xml:space="preserve">DW mit ND &amp; Ventil</t>
  </si>
  <si>
    <t xml:space="preserve">D20</t>
  </si>
  <si>
    <t xml:space="preserve">DW Hybrid Standard</t>
  </si>
  <si>
    <t xml:space="preserve">D21</t>
  </si>
  <si>
    <t xml:space="preserve">DW Hybrid mit ND</t>
  </si>
  <si>
    <t xml:space="preserve">D22</t>
  </si>
  <si>
    <t xml:space="preserve">DW Hybrid &amp; Ventil</t>
  </si>
  <si>
    <t xml:space="preserve">D23</t>
  </si>
  <si>
    <t xml:space="preserve">DW Hybrid ND &amp; Ven</t>
  </si>
  <si>
    <t xml:space="preserve">D30</t>
  </si>
  <si>
    <t xml:space="preserve">DW 87x9 Standard</t>
  </si>
  <si>
    <t xml:space="preserve">D31</t>
  </si>
  <si>
    <t xml:space="preserve">DW 87x9 mit Ventil</t>
  </si>
  <si>
    <t xml:space="preserve">D40</t>
  </si>
  <si>
    <t xml:space="preserve">DW Projektbezogen</t>
  </si>
  <si>
    <t xml:space="preserve">DB1</t>
  </si>
  <si>
    <t xml:space="preserve">DW-Anzeigen</t>
  </si>
  <si>
    <t xml:space="preserve">DB2</t>
  </si>
  <si>
    <t xml:space="preserve">DW-Baugruppen</t>
  </si>
  <si>
    <t xml:space="preserve">DEF</t>
  </si>
  <si>
    <t xml:space="preserve">DW-Erstfertigung</t>
  </si>
  <si>
    <t xml:space="preserve">DL6</t>
  </si>
  <si>
    <t xml:space="preserve">gro / DW Nachschub</t>
  </si>
  <si>
    <t xml:space="preserve">prüfen (Nachschub/Logistik?)</t>
  </si>
  <si>
    <t xml:space="preserve">DS1</t>
  </si>
  <si>
    <t xml:space="preserve">Dichtesensormodule</t>
  </si>
  <si>
    <t xml:space="preserve">DS2</t>
  </si>
  <si>
    <t xml:space="preserve">Dichtesensor</t>
  </si>
  <si>
    <t xml:space="preserve">DSN</t>
  </si>
  <si>
    <t xml:space="preserve">Dichtesensor Neu</t>
  </si>
  <si>
    <t xml:space="preserve">DW1</t>
  </si>
  <si>
    <t xml:space="preserve">gro / DW Rüstpap</t>
  </si>
  <si>
    <t xml:space="preserve">prüfen (Rüstpapiere?)</t>
  </si>
  <si>
    <t xml:space="preserve">DW2</t>
  </si>
  <si>
    <t xml:space="preserve">PPD / DW TA autom.</t>
  </si>
  <si>
    <t xml:space="preserve">EK1</t>
  </si>
  <si>
    <t xml:space="preserve">PPD / TR5</t>
  </si>
  <si>
    <t xml:space="preserve">EK2</t>
  </si>
  <si>
    <t xml:space="preserve">PPD / TR5 TK</t>
  </si>
  <si>
    <t xml:space="preserve">EK3</t>
  </si>
  <si>
    <t xml:space="preserve">PPD / TR5 Charg TK</t>
  </si>
  <si>
    <t xml:space="preserve">EK4</t>
  </si>
  <si>
    <t xml:space="preserve">PPD / TR5 Slowmove</t>
  </si>
  <si>
    <t xml:space="preserve">EK5</t>
  </si>
  <si>
    <t xml:space="preserve">PPD/TR5 HD Cold</t>
  </si>
  <si>
    <t xml:space="preserve">EK6</t>
  </si>
  <si>
    <t xml:space="preserve">PPD/TR5 HD Hot</t>
  </si>
  <si>
    <t xml:space="preserve">EK7</t>
  </si>
  <si>
    <t xml:space="preserve">PPD/TR5 ND&lt;200mBar</t>
  </si>
  <si>
    <t xml:space="preserve">EK8</t>
  </si>
  <si>
    <t xml:space="preserve">PPD/TR5 CN-Bahn</t>
  </si>
  <si>
    <t xml:space="preserve">EK9</t>
  </si>
  <si>
    <t xml:space="preserve">PPD / TR5 Absolut</t>
  </si>
  <si>
    <t xml:space="preserve">EKB</t>
  </si>
  <si>
    <t xml:space="preserve">PPD / TR5 Baugrupp</t>
  </si>
  <si>
    <t xml:space="preserve">EL1</t>
  </si>
  <si>
    <t xml:space="preserve">PPD / NAx Cold ST</t>
  </si>
  <si>
    <t xml:space="preserve">prüfen (EL-Gruppe, Name ohne TX)</t>
  </si>
  <si>
    <t xml:space="preserve">EL2</t>
  </si>
  <si>
    <t xml:space="preserve">PPD / TX Hot ST</t>
  </si>
  <si>
    <t xml:space="preserve">EL3</t>
  </si>
  <si>
    <t xml:space="preserve">PPD / TX Hot Exot</t>
  </si>
  <si>
    <t xml:space="preserve">EL4</t>
  </si>
  <si>
    <t xml:space="preserve">PPD / ECx Cold ST</t>
  </si>
  <si>
    <t xml:space="preserve">EL5</t>
  </si>
  <si>
    <t xml:space="preserve">PPD / ECL</t>
  </si>
  <si>
    <t xml:space="preserve">EL6</t>
  </si>
  <si>
    <t xml:space="preserve">PPD / EPx Cold ST</t>
  </si>
  <si>
    <t xml:space="preserve">EL7</t>
  </si>
  <si>
    <t xml:space="preserve">PPD / TX Cold Exot</t>
  </si>
  <si>
    <t xml:space="preserve">EL8</t>
  </si>
  <si>
    <t xml:space="preserve">PPD / DPx Cold</t>
  </si>
  <si>
    <t xml:space="preserve">EL9</t>
  </si>
  <si>
    <t xml:space="preserve">PPD / TX-Nachmess</t>
  </si>
  <si>
    <t xml:space="preserve">ELE</t>
  </si>
  <si>
    <t xml:space="preserve">PPD / TX-Entwickl</t>
  </si>
  <si>
    <t xml:space="preserve">ELP</t>
  </si>
  <si>
    <t xml:space="preserve">PPD / TX Erstfert</t>
  </si>
  <si>
    <t xml:space="preserve">N15</t>
  </si>
  <si>
    <t xml:space="preserve">PKA</t>
  </si>
  <si>
    <t xml:space="preserve">Produktions-Kanban</t>
  </si>
  <si>
    <t xml:space="preserve">SB1</t>
  </si>
  <si>
    <t xml:space="preserve">PPD/Sns.BG Oxydstr</t>
  </si>
  <si>
    <t xml:space="preserve">SB2</t>
  </si>
  <si>
    <t xml:space="preserve">PPD/Sns.BG TR5</t>
  </si>
  <si>
    <t xml:space="preserve">SB3</t>
  </si>
  <si>
    <t xml:space="preserve">PPD/Sns.BG TX</t>
  </si>
  <si>
    <t xml:space="preserve">SB4</t>
  </si>
  <si>
    <t xml:space="preserve">PPD/Sns.BG TX FPT</t>
  </si>
  <si>
    <t xml:space="preserve">SB5</t>
  </si>
  <si>
    <t xml:space="preserve">PPD/Sns.BG CZ</t>
  </si>
  <si>
    <t xml:space="preserve">SE1</t>
  </si>
  <si>
    <t xml:space="preserve">PPD / Sns.TR5</t>
  </si>
  <si>
    <t xml:space="preserve">SE2</t>
  </si>
  <si>
    <t xml:space="preserve">PPD / Sns.eig.allg</t>
  </si>
  <si>
    <t xml:space="preserve">SE3</t>
  </si>
  <si>
    <t xml:space="preserve">PPD /Sns.BG TR5 H2</t>
  </si>
  <si>
    <t xml:space="preserve">SE4</t>
  </si>
  <si>
    <t xml:space="preserve">PPD/Sns.BG TR5 Abs</t>
  </si>
  <si>
    <t xml:space="preserve">SK1</t>
  </si>
  <si>
    <t xml:space="preserve">PPD / Sns.Kd.Hydac</t>
  </si>
  <si>
    <t xml:space="preserve">SK2</t>
  </si>
  <si>
    <t xml:space="preserve">PPD / Sns.Kd.IFM</t>
  </si>
  <si>
    <t xml:space="preserve">SK3</t>
  </si>
  <si>
    <t xml:space="preserve">PPD / Sns.Kd.I2S</t>
  </si>
  <si>
    <t xml:space="preserve">SL1</t>
  </si>
  <si>
    <t xml:space="preserve">PPD / Sns.BS.Pap</t>
  </si>
  <si>
    <t xml:space="preserve">SL2</t>
  </si>
  <si>
    <t xml:space="preserve">PPD / Sns.BAT.Pap</t>
  </si>
  <si>
    <t xml:space="preserve">SL3</t>
  </si>
  <si>
    <t xml:space="preserve">PPD / Sns.DM.Pap</t>
  </si>
  <si>
    <t xml:space="preserve">SL4</t>
  </si>
  <si>
    <t xml:space="preserve">PPD / Sns.LS.Mes</t>
  </si>
  <si>
    <t xml:space="preserve">SL5</t>
  </si>
  <si>
    <t xml:space="preserve">PPD / Sns.BAT.Mes</t>
  </si>
  <si>
    <t xml:space="preserve">SPB</t>
  </si>
  <si>
    <t xml:space="preserve">SensorenProBeam</t>
  </si>
  <si>
    <t xml:space="preserve">TL1</t>
  </si>
  <si>
    <t xml:space="preserve">Pilotinsel Linie</t>
  </si>
  <si>
    <t xml:space="preserve">TPT</t>
  </si>
  <si>
    <t xml:space="preserve">Pilotinsel noLinie</t>
  </si>
  <si>
    <t xml:space="preserve">ZD05 Fehlteile: Anforderung Markierung «Neu» im Dashboard</t>
  </si>
  <si>
    <t xml:space="preserve">Fakten (Fabio, 14.10.2026)</t>
  </si>
  <si>
    <t xml:space="preserve">- Transaktion ZD05 «Bestellungen auf Umterminierung prüfen», Selektion Disponent 001 bis 005, Werk 1100</t>
  </si>
  <si>
    <t xml:space="preserve">- Liste ist inkrementell: neue Einträge und überfällige Liefertermine werden im Shop-Floor-Meeting besprochen</t>
  </si>
  <si>
    <t xml:space="preserve">- Spalten: Material, Materialkurztext, Unterdeckung, Merkmal, Lz-Code, Verbr. WBZ, opt. SIBE, akt. SIBE, Anteil Plan, Tendenz</t>
  </si>
  <si>
    <t xml:space="preserve">Anforderung an das Dashboard</t>
  </si>
  <si>
    <t xml:space="preserve">1. Beim Import wird jedes Material mit dem letzten Import verglichen (nicht mit dem Kalender-Vortag; Montag = Vergleich mit Freitag/letztem Import)</t>
  </si>
  <si>
    <t xml:space="preserve">2. Material nicht im letzten Import enthalten = «NEU» (auch wenn es früher schon einmal auf der Liste war)</t>
  </si>
  <si>
    <t xml:space="preserve">3. «NEU» bleibt sichtbar, bis jemand «besprochen» anklickt (mit Kürzel und Datum), damit nichts verloren geht, wenn ein Meeting ausfällt</t>
  </si>
  <si>
    <t xml:space="preserve">4. Zusätzlicher Filter-Chip «Neu (n)» neben «Überfällig», «Heute», «Morgen» usw.</t>
  </si>
  <si>
    <t xml:space="preserve">5. Filter-Chip «Zu besprechen (n)» = Neu ODER Überfällig; Standardansicht im Meeting</t>
  </si>
  <si>
    <t xml:space="preserve">6. Material, das im neuen Import fehlt, gilt als erledigt und verschwindet (Bemerkungen bleiben in der Historie)</t>
  </si>
  <si>
    <t xml:space="preserve">7. Kachel auf der Startseite: Anzahl Neu und Überfällig für Punkt 10 Einkauf</t>
  </si>
  <si>
    <t xml:space="preserve">Empfehlung (unklar/zu verifizieren)</t>
  </si>
  <si>
    <t xml:space="preserve">- Import später automatisch über den 04:00-Job statt Drag&amp;Drop; der Vergleich läuft dann gleich</t>
  </si>
  <si>
    <t xml:space="preserve">- Prüfen, ob der Import heute bereits einen Vergleich pro Material macht (Bemerkungen vom Vortag werden schon übernommen, der Schlüssel Material existiert also)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</si>
</sst>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531A"/>
        <bgColor rgb="FFFF8080"/>
      </patternFill>
    </fill>
    <fill>
      <patternFill patternType="solid">
        <fgColor rgb="FFE2F0D9"/>
        <bgColor rgb="FFF2F2F2"/>
      </patternFill>
    </fill>
    <fill>
      <patternFill patternType="solid">
        <fgColor rgb="FFF8CBAD"/>
        <bgColor rgb="FFFFF4C2"/>
      </patternFill>
    </fill>
    <fill>
      <patternFill patternType="solid">
        <fgColor rgb="FFFFF4C2"/>
        <bgColor rgb="FFFFFF99"/>
      </patternFill>
    </fill>
    <fill>
      <patternFill patternType="solid">
        <fgColor rgb="FFF2F2F2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8531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2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8531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70"/>
    <col collapsed="false" customWidth="true" hidden="false" outlineLevel="0" max="4" min="4" style="1" width="55"/>
    <col collapsed="false" customWidth="true" hidden="false" outlineLevel="0" max="5" min="5" style="1" width="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23.25" hidden="false" customHeight="true" outlineLevel="0" collapsed="false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customFormat="false" ht="15" hidden="false" customHeight="true" outlineLevel="0" collapsed="false">
      <c r="A6" s="5" t="s">
        <v>12</v>
      </c>
      <c r="B6" s="5" t="s">
        <v>13</v>
      </c>
      <c r="C6" s="5" t="s">
        <v>14</v>
      </c>
      <c r="D6" s="5" t="s">
        <v>15</v>
      </c>
      <c r="E6" s="5" t="s">
        <v>11</v>
      </c>
    </row>
    <row r="7" customFormat="false" ht="23.25" hidden="false" customHeight="true" outlineLevel="0" collapsed="false">
      <c r="A7" s="5" t="s">
        <v>16</v>
      </c>
      <c r="B7" s="5" t="s">
        <v>17</v>
      </c>
      <c r="C7" s="5" t="s">
        <v>18</v>
      </c>
      <c r="D7" s="5" t="s">
        <v>19</v>
      </c>
      <c r="E7" s="5" t="s">
        <v>11</v>
      </c>
    </row>
    <row r="8" customFormat="false" ht="23.25" hidden="false" customHeight="true" outlineLevel="0" collapsed="false">
      <c r="A8" s="5" t="s">
        <v>20</v>
      </c>
      <c r="B8" s="5" t="s">
        <v>21</v>
      </c>
      <c r="C8" s="5" t="s">
        <v>22</v>
      </c>
      <c r="D8" s="5" t="s">
        <v>23</v>
      </c>
      <c r="E8" s="5" t="s">
        <v>11</v>
      </c>
    </row>
    <row r="9" customFormat="false" ht="23.25" hidden="false" customHeight="true" outlineLevel="0" collapsed="false">
      <c r="A9" s="5" t="s">
        <v>24</v>
      </c>
      <c r="B9" s="5" t="s">
        <v>25</v>
      </c>
      <c r="C9" s="5" t="s">
        <v>26</v>
      </c>
      <c r="D9" s="5" t="s">
        <v>27</v>
      </c>
      <c r="E9" s="5" t="s">
        <v>11</v>
      </c>
    </row>
    <row r="10" customFormat="false" ht="23.25" hidden="false" customHeight="true" outlineLevel="0" collapsed="false">
      <c r="A10" s="5" t="s">
        <v>28</v>
      </c>
      <c r="B10" s="5" t="s">
        <v>29</v>
      </c>
      <c r="C10" s="5" t="s">
        <v>30</v>
      </c>
      <c r="D10" s="5" t="s">
        <v>31</v>
      </c>
      <c r="E10" s="5" t="s">
        <v>11</v>
      </c>
    </row>
    <row r="11" customFormat="false" ht="15" hidden="false" customHeight="true" outlineLevel="0" collapsed="false">
      <c r="A11" s="5" t="s">
        <v>32</v>
      </c>
      <c r="B11" s="5" t="s">
        <v>33</v>
      </c>
      <c r="C11" s="5" t="s">
        <v>34</v>
      </c>
      <c r="D11" s="5" t="s">
        <v>35</v>
      </c>
      <c r="E11" s="5" t="s">
        <v>11</v>
      </c>
    </row>
    <row r="12" customFormat="false" ht="15" hidden="false" customHeight="true" outlineLevel="0" collapsed="false">
      <c r="A12" s="5" t="s">
        <v>36</v>
      </c>
      <c r="B12" s="5" t="s">
        <v>37</v>
      </c>
      <c r="C12" s="5" t="s">
        <v>38</v>
      </c>
      <c r="D12" s="5" t="s">
        <v>39</v>
      </c>
      <c r="E12" s="5" t="s">
        <v>11</v>
      </c>
    </row>
    <row r="13" customFormat="false" ht="15" hidden="false" customHeight="true" outlineLevel="0" collapsed="false">
      <c r="A13" s="5" t="s">
        <v>40</v>
      </c>
      <c r="B13" s="5" t="s">
        <v>41</v>
      </c>
      <c r="C13" s="5" t="s">
        <v>42</v>
      </c>
      <c r="D13" s="5" t="s">
        <v>43</v>
      </c>
      <c r="E13" s="5" t="s">
        <v>11</v>
      </c>
    </row>
    <row r="14" customFormat="false" ht="23.25" hidden="false" customHeight="true" outlineLevel="0" collapsed="false">
      <c r="A14" s="6" t="s">
        <v>44</v>
      </c>
      <c r="B14" s="6" t="s">
        <v>45</v>
      </c>
      <c r="C14" s="6" t="s">
        <v>46</v>
      </c>
      <c r="D14" s="6" t="s">
        <v>47</v>
      </c>
      <c r="E14" s="6" t="s">
        <v>11</v>
      </c>
    </row>
    <row r="15" customFormat="false" ht="23.25" hidden="false" customHeight="true" outlineLevel="0" collapsed="false">
      <c r="A15" s="5" t="s">
        <v>48</v>
      </c>
      <c r="B15" s="5" t="s">
        <v>49</v>
      </c>
      <c r="C15" s="5" t="s">
        <v>50</v>
      </c>
      <c r="D15" s="5" t="s">
        <v>51</v>
      </c>
      <c r="E15" s="5" t="s">
        <v>11</v>
      </c>
    </row>
    <row r="16" customFormat="false" ht="23.25" hidden="false" customHeight="true" outlineLevel="0" collapsed="false">
      <c r="A16" s="7" t="s">
        <v>52</v>
      </c>
      <c r="B16" s="7" t="s">
        <v>53</v>
      </c>
      <c r="C16" s="7" t="s">
        <v>54</v>
      </c>
      <c r="D16" s="7"/>
      <c r="E16" s="7" t="s">
        <v>55</v>
      </c>
    </row>
    <row r="17" customFormat="false" ht="23.25" hidden="false" customHeight="true" outlineLevel="0" collapsed="false">
      <c r="A17" s="7" t="s">
        <v>56</v>
      </c>
      <c r="B17" s="7" t="s">
        <v>57</v>
      </c>
      <c r="C17" s="7" t="s">
        <v>58</v>
      </c>
      <c r="D17" s="7"/>
      <c r="E17" s="7" t="s">
        <v>55</v>
      </c>
    </row>
    <row r="18" customFormat="false" ht="23.25" hidden="false" customHeight="true" outlineLevel="0" collapsed="false">
      <c r="A18" s="7" t="s">
        <v>59</v>
      </c>
      <c r="B18" s="7" t="s">
        <v>60</v>
      </c>
      <c r="C18" s="7" t="s">
        <v>61</v>
      </c>
      <c r="D18" s="7" t="s">
        <v>62</v>
      </c>
      <c r="E18" s="7" t="s">
        <v>55</v>
      </c>
    </row>
    <row r="19" customFormat="false" ht="15" hidden="false" customHeight="true" outlineLevel="0" collapsed="false"/>
    <row r="20" customFormat="false" ht="15" hidden="false" customHeight="true" outlineLevel="0" collapsed="false">
      <c r="A20" s="8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18"/>
  </cols>
  <sheetData>
    <row r="1" customFormat="false" ht="15.75" hidden="false" customHeight="true" outlineLevel="0" collapsed="false">
      <c r="A1" s="9" t="s">
        <v>64</v>
      </c>
    </row>
    <row r="3" customFormat="false" ht="15" hidden="false" customHeight="true" outlineLevel="0" collapsed="false">
      <c r="A3" s="4" t="s">
        <v>65</v>
      </c>
      <c r="B3" s="4" t="s">
        <v>66</v>
      </c>
      <c r="C3" s="4" t="s">
        <v>67</v>
      </c>
    </row>
    <row r="4" customFormat="false" ht="15" hidden="false" customHeight="true" outlineLevel="0" collapsed="false">
      <c r="A4" s="10" t="s">
        <v>68</v>
      </c>
      <c r="B4" s="10" t="n">
        <f aca="false">COUNTIF('Feld-Mapping'!A:A,"SAP")</f>
        <v>130</v>
      </c>
      <c r="C4" s="10" t="n">
        <f aca="false">COUNTIFS('Feld-Mapping'!A:A,"SAP",'Feld-Mapping'!M:M,"definiert")</f>
        <v>25</v>
      </c>
    </row>
    <row r="5" customFormat="false" ht="15" hidden="false" customHeight="true" outlineLevel="0" collapsed="false">
      <c r="A5" s="10" t="s">
        <v>69</v>
      </c>
      <c r="B5" s="10" t="n">
        <f aca="false">COUNTIF('Feld-Mapping'!A:A,"MES")</f>
        <v>4</v>
      </c>
      <c r="C5" s="10" t="n">
        <f aca="false">COUNTIFS('Feld-Mapping'!A:A,"MES",'Feld-Mapping'!M:M,"definiert")</f>
        <v>1</v>
      </c>
    </row>
    <row r="6" customFormat="false" ht="15" hidden="false" customHeight="true" outlineLevel="0" collapsed="false">
      <c r="A6" s="8" t="s">
        <v>70</v>
      </c>
      <c r="B6" s="8" t="n">
        <f aca="false">B4+B5</f>
        <v>134</v>
      </c>
      <c r="C6" s="8" t="n">
        <f aca="false">C4+C5</f>
        <v>26</v>
      </c>
    </row>
    <row r="7" customFormat="false" ht="15" hidden="false" customHeight="true" outlineLevel="0" collapsed="false">
      <c r="A7" s="10"/>
    </row>
    <row r="8" customFormat="false" ht="15" hidden="false" customHeight="true" outlineLevel="0" collapsed="false">
      <c r="A8" s="8" t="s">
        <v>71</v>
      </c>
    </row>
    <row r="9" customFormat="false" ht="15" hidden="false" customHeight="true" outlineLevel="0" collapsed="false">
      <c r="A9" s="10" t="s">
        <v>72</v>
      </c>
    </row>
    <row r="10" customFormat="false" ht="15" hidden="false" customHeight="true" outlineLevel="0" collapsed="false">
      <c r="A10" s="10" t="s">
        <v>73</v>
      </c>
    </row>
    <row r="11" customFormat="false" ht="15" hidden="false" customHeight="true" outlineLevel="0" collapsed="false">
      <c r="A11" s="10" t="s">
        <v>74</v>
      </c>
    </row>
    <row r="12" customFormat="false" ht="15" hidden="false" customHeight="true" outlineLevel="0" collapsed="false">
      <c r="A12" s="10" t="s">
        <v>75</v>
      </c>
    </row>
    <row r="13" customFormat="false" ht="15" hidden="false" customHeight="true" outlineLevel="0" collapsed="false">
      <c r="A13" s="10" t="s">
        <v>76</v>
      </c>
    </row>
    <row r="14" customFormat="false" ht="15" hidden="false" customHeight="true" outlineLevel="0" collapsed="false">
      <c r="A14" s="10" t="s">
        <v>77</v>
      </c>
    </row>
    <row r="15" customFormat="false" ht="15" hidden="false" customHeight="true" outlineLevel="0" collapsed="false">
      <c r="A15" s="1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42"/>
    <col collapsed="false" customWidth="true" hidden="false" outlineLevel="0" max="5" min="5" style="1" width="44"/>
    <col collapsed="false" customWidth="true" hidden="false" outlineLevel="0" max="6" min="6" style="1" width="22"/>
    <col collapsed="false" customWidth="true" hidden="false" outlineLevel="0" max="7" min="7" style="1" width="11"/>
    <col collapsed="false" customWidth="true" hidden="false" outlineLevel="0" max="8" min="8" style="1" width="50"/>
  </cols>
  <sheetData>
    <row r="1" customFormat="false" ht="15.75" hidden="false" customHeight="true" outlineLevel="0" collapsed="false">
      <c r="A1" s="9" t="s">
        <v>79</v>
      </c>
    </row>
    <row r="2" customFormat="false" ht="15" hidden="false" customHeight="true" outlineLevel="0" collapsed="false">
      <c r="A2" s="3" t="s">
        <v>80</v>
      </c>
    </row>
    <row r="4" customFormat="false" ht="15" hidden="false" customHeight="true" outlineLevel="0" collapsed="false">
      <c r="A4" s="11" t="s">
        <v>81</v>
      </c>
      <c r="B4" s="11" t="s">
        <v>82</v>
      </c>
      <c r="C4" s="11" t="s">
        <v>83</v>
      </c>
      <c r="D4" s="11" t="s">
        <v>65</v>
      </c>
      <c r="E4" s="11" t="s">
        <v>84</v>
      </c>
      <c r="F4" s="11" t="s">
        <v>85</v>
      </c>
      <c r="G4" s="11" t="s">
        <v>6</v>
      </c>
      <c r="H4" s="11" t="s">
        <v>86</v>
      </c>
    </row>
    <row r="5" customFormat="false" ht="34.5" hidden="false" customHeight="true" outlineLevel="0" collapsed="false">
      <c r="A5" s="12" t="s">
        <v>87</v>
      </c>
      <c r="B5" s="12" t="s">
        <v>88</v>
      </c>
      <c r="C5" s="12" t="s">
        <v>89</v>
      </c>
      <c r="D5" s="12" t="s">
        <v>90</v>
      </c>
      <c r="E5" s="12" t="s">
        <v>19</v>
      </c>
      <c r="F5" s="12" t="s">
        <v>91</v>
      </c>
      <c r="G5" s="12" t="s">
        <v>92</v>
      </c>
      <c r="H5" s="12" t="s">
        <v>93</v>
      </c>
    </row>
    <row r="6" customFormat="false" ht="23.25" hidden="false" customHeight="true" outlineLevel="0" collapsed="false">
      <c r="A6" s="12" t="s">
        <v>94</v>
      </c>
      <c r="B6" s="12" t="s">
        <v>95</v>
      </c>
      <c r="C6" s="12" t="s">
        <v>96</v>
      </c>
      <c r="D6" s="12" t="s">
        <v>97</v>
      </c>
      <c r="E6" s="12" t="s">
        <v>98</v>
      </c>
      <c r="F6" s="12" t="s">
        <v>99</v>
      </c>
      <c r="G6" s="12" t="s">
        <v>100</v>
      </c>
      <c r="H6" s="12" t="s">
        <v>101</v>
      </c>
    </row>
    <row r="7" customFormat="false" ht="34.5" hidden="false" customHeight="true" outlineLevel="0" collapsed="false">
      <c r="A7" s="12" t="s">
        <v>102</v>
      </c>
      <c r="B7" s="12" t="s">
        <v>103</v>
      </c>
      <c r="C7" s="12" t="s">
        <v>96</v>
      </c>
      <c r="D7" s="12" t="s">
        <v>104</v>
      </c>
      <c r="E7" s="12" t="s">
        <v>105</v>
      </c>
      <c r="F7" s="12" t="s">
        <v>99</v>
      </c>
      <c r="G7" s="12" t="s">
        <v>100</v>
      </c>
      <c r="H7" s="12" t="s">
        <v>106</v>
      </c>
    </row>
    <row r="8" customFormat="false" ht="23.25" hidden="false" customHeight="true" outlineLevel="0" collapsed="false">
      <c r="A8" s="12" t="s">
        <v>107</v>
      </c>
      <c r="B8" s="12" t="s">
        <v>108</v>
      </c>
      <c r="C8" s="12" t="s">
        <v>96</v>
      </c>
      <c r="D8" s="12" t="s">
        <v>109</v>
      </c>
      <c r="E8" s="12" t="s">
        <v>110</v>
      </c>
      <c r="F8" s="12" t="s">
        <v>111</v>
      </c>
      <c r="G8" s="12" t="s">
        <v>55</v>
      </c>
      <c r="H8" s="12" t="s">
        <v>112</v>
      </c>
    </row>
    <row r="9" customFormat="false" ht="23.25" hidden="false" customHeight="true" outlineLevel="0" collapsed="false">
      <c r="A9" s="12" t="s">
        <v>113</v>
      </c>
      <c r="B9" s="12" t="s">
        <v>114</v>
      </c>
      <c r="C9" s="12" t="s">
        <v>115</v>
      </c>
      <c r="D9" s="12" t="s">
        <v>116</v>
      </c>
      <c r="E9" s="12" t="s">
        <v>117</v>
      </c>
      <c r="F9" s="12" t="s">
        <v>118</v>
      </c>
      <c r="G9" s="12" t="s">
        <v>100</v>
      </c>
      <c r="H9" s="12" t="s">
        <v>119</v>
      </c>
    </row>
    <row r="10" customFormat="false" ht="23.25" hidden="false" customHeight="true" outlineLevel="0" collapsed="false">
      <c r="A10" s="12" t="s">
        <v>120</v>
      </c>
      <c r="B10" s="12" t="s">
        <v>121</v>
      </c>
      <c r="C10" s="12" t="s">
        <v>122</v>
      </c>
      <c r="D10" s="12" t="s">
        <v>123</v>
      </c>
      <c r="E10" s="12" t="s">
        <v>124</v>
      </c>
      <c r="F10" s="12" t="s">
        <v>125</v>
      </c>
      <c r="G10" s="12" t="s">
        <v>126</v>
      </c>
      <c r="H10" s="12" t="s">
        <v>127</v>
      </c>
    </row>
    <row r="11" customFormat="false" ht="23.25" hidden="false" customHeight="true" outlineLevel="0" collapsed="false">
      <c r="A11" s="12" t="s">
        <v>128</v>
      </c>
      <c r="B11" s="12" t="s">
        <v>129</v>
      </c>
      <c r="C11" s="12" t="s">
        <v>130</v>
      </c>
      <c r="D11" s="12" t="s">
        <v>131</v>
      </c>
      <c r="E11" s="12" t="s">
        <v>132</v>
      </c>
      <c r="F11" s="12" t="s">
        <v>133</v>
      </c>
      <c r="G11" s="12" t="s">
        <v>55</v>
      </c>
      <c r="H11" s="12" t="s">
        <v>134</v>
      </c>
    </row>
    <row r="12" customFormat="false" ht="15" hidden="false" customHeight="true" outlineLevel="0" collapsed="false">
      <c r="A12" s="12" t="s">
        <v>135</v>
      </c>
      <c r="B12" s="12" t="s">
        <v>136</v>
      </c>
      <c r="C12" s="12" t="s">
        <v>137</v>
      </c>
      <c r="D12" s="12" t="s">
        <v>138</v>
      </c>
      <c r="E12" s="12" t="s">
        <v>139</v>
      </c>
      <c r="F12" s="12" t="s">
        <v>140</v>
      </c>
      <c r="G12" s="12" t="s">
        <v>126</v>
      </c>
      <c r="H12" s="12" t="s">
        <v>141</v>
      </c>
    </row>
    <row r="13" customFormat="false" ht="15" hidden="false" customHeight="true" outlineLevel="0" collapsed="false">
      <c r="A13" s="12" t="s">
        <v>142</v>
      </c>
      <c r="B13" s="12" t="s">
        <v>143</v>
      </c>
      <c r="C13" s="12" t="s">
        <v>144</v>
      </c>
      <c r="D13" s="12" t="s">
        <v>145</v>
      </c>
      <c r="E13" s="12" t="s">
        <v>146</v>
      </c>
      <c r="F13" s="12" t="s">
        <v>133</v>
      </c>
      <c r="G13" s="12" t="s">
        <v>55</v>
      </c>
      <c r="H13" s="12" t="s">
        <v>147</v>
      </c>
    </row>
    <row r="14" customFormat="false" ht="15" hidden="false" customHeight="true" outlineLevel="0" collapsed="false">
      <c r="A14" s="12" t="s">
        <v>148</v>
      </c>
      <c r="B14" s="12" t="s">
        <v>149</v>
      </c>
      <c r="C14" s="12" t="s">
        <v>150</v>
      </c>
      <c r="D14" s="12" t="s">
        <v>151</v>
      </c>
      <c r="E14" s="12" t="s">
        <v>152</v>
      </c>
      <c r="F14" s="12" t="s">
        <v>153</v>
      </c>
      <c r="G14" s="12" t="s">
        <v>55</v>
      </c>
      <c r="H14" s="12" t="s">
        <v>154</v>
      </c>
    </row>
    <row r="15" customFormat="false" ht="57" hidden="false" customHeight="true" outlineLevel="0" collapsed="false">
      <c r="A15" s="12" t="s">
        <v>155</v>
      </c>
      <c r="B15" s="12" t="s">
        <v>156</v>
      </c>
      <c r="C15" s="12" t="s">
        <v>157</v>
      </c>
      <c r="D15" s="12" t="s">
        <v>158</v>
      </c>
      <c r="E15" s="12" t="s">
        <v>159</v>
      </c>
      <c r="F15" s="12" t="s">
        <v>160</v>
      </c>
      <c r="G15" s="12" t="s">
        <v>100</v>
      </c>
      <c r="H15" s="1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0"/>
  </cols>
  <sheetData>
    <row r="1" customFormat="false" ht="15.75" hidden="false" customHeight="true" outlineLevel="0" collapsed="false">
      <c r="A1" s="9" t="s">
        <v>162</v>
      </c>
    </row>
    <row r="3" customFormat="false" ht="15" hidden="false" customHeight="true" outlineLevel="0" collapsed="false">
      <c r="A3" s="11" t="s">
        <v>163</v>
      </c>
      <c r="B3" s="11" t="s">
        <v>164</v>
      </c>
    </row>
    <row r="4" customFormat="false" ht="15" hidden="false" customHeight="true" outlineLevel="0" collapsed="false">
      <c r="A4" s="12" t="s">
        <v>165</v>
      </c>
      <c r="B4" s="12" t="s">
        <v>166</v>
      </c>
    </row>
    <row r="5" customFormat="false" ht="15" hidden="false" customHeight="true" outlineLevel="0" collapsed="false">
      <c r="A5" s="12" t="s">
        <v>167</v>
      </c>
      <c r="B5" s="12" t="s">
        <v>168</v>
      </c>
    </row>
    <row r="6" customFormat="false" ht="15" hidden="false" customHeight="true" outlineLevel="0" collapsed="false">
      <c r="A6" s="12" t="s">
        <v>169</v>
      </c>
      <c r="B6" s="12" t="s">
        <v>170</v>
      </c>
    </row>
    <row r="7" customFormat="false" ht="15" hidden="false" customHeight="true" outlineLevel="0" collapsed="false">
      <c r="A7" s="12" t="s">
        <v>171</v>
      </c>
      <c r="B7" s="12" t="s">
        <v>172</v>
      </c>
    </row>
    <row r="8" customFormat="false" ht="15" hidden="false" customHeight="true" outlineLevel="0" collapsed="false">
      <c r="A8" s="12" t="s">
        <v>173</v>
      </c>
      <c r="B8" s="12" t="s">
        <v>174</v>
      </c>
    </row>
    <row r="9" customFormat="false" ht="15" hidden="false" customHeight="true" outlineLevel="0" collapsed="false">
      <c r="A9" s="12" t="s">
        <v>175</v>
      </c>
      <c r="B9" s="12" t="s">
        <v>176</v>
      </c>
    </row>
    <row r="10" customFormat="false" ht="23.25" hidden="false" customHeight="true" outlineLevel="0" collapsed="false">
      <c r="A10" s="12" t="s">
        <v>177</v>
      </c>
      <c r="B10" s="12" t="s">
        <v>178</v>
      </c>
    </row>
    <row r="11" customFormat="false" ht="15" hidden="false" customHeight="true" outlineLevel="0" collapsed="false">
      <c r="A11" s="12" t="s">
        <v>179</v>
      </c>
      <c r="B11" s="12" t="s">
        <v>180</v>
      </c>
    </row>
    <row r="12" customFormat="false" ht="15" hidden="false" customHeight="true" outlineLevel="0" collapsed="false">
      <c r="A12" s="12" t="s">
        <v>181</v>
      </c>
      <c r="B12" s="12" t="s">
        <v>182</v>
      </c>
    </row>
    <row r="13" customFormat="false" ht="15" hidden="false" customHeight="true" outlineLevel="0" collapsed="false">
      <c r="A13" s="12" t="s">
        <v>183</v>
      </c>
      <c r="B13" s="12" t="s">
        <v>184</v>
      </c>
    </row>
    <row r="14" customFormat="false" ht="15" hidden="false" customHeight="true" outlineLevel="0" collapsed="false">
      <c r="A14" s="12" t="s">
        <v>185</v>
      </c>
      <c r="B14" s="12" t="s">
        <v>186</v>
      </c>
    </row>
    <row r="15" customFormat="false" ht="23.25" hidden="false" customHeight="true" outlineLevel="0" collapsed="false">
      <c r="A15" s="12" t="s">
        <v>187</v>
      </c>
      <c r="B15" s="12" t="s">
        <v>188</v>
      </c>
    </row>
    <row r="16" customFormat="false" ht="15" hidden="false" customHeight="true" outlineLevel="0" collapsed="false">
      <c r="A16" s="12" t="s">
        <v>189</v>
      </c>
      <c r="B16" s="12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26"/>
    <col collapsed="false" customWidth="true" hidden="false" outlineLevel="0" max="4" min="4" style="1" width="24"/>
    <col collapsed="false" customWidth="true" hidden="false" outlineLevel="0" max="5" min="5" style="1" width="7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34"/>
    <col collapsed="false" customWidth="true" hidden="false" outlineLevel="0" max="9" min="9" style="1" width="30"/>
    <col collapsed="false" customWidth="true" hidden="false" outlineLevel="0" max="10" min="10" style="1" width="22"/>
    <col collapsed="false" customWidth="true" hidden="false" outlineLevel="0" max="11" min="11" style="1" width="18"/>
    <col collapsed="false" customWidth="true" hidden="false" outlineLevel="0" max="12" min="12" style="1" width="30"/>
    <col collapsed="false" customWidth="true" hidden="false" outlineLevel="0" max="13" min="13" style="1" width="12"/>
    <col collapsed="false" customWidth="true" hidden="false" outlineLevel="0" max="14" min="14" style="1" width="30"/>
  </cols>
  <sheetData>
    <row r="1" customFormat="false" ht="15.75" hidden="false" customHeight="true" outlineLevel="0" collapsed="false">
      <c r="A1" s="9" t="s">
        <v>191</v>
      </c>
    </row>
    <row r="2" customFormat="false" ht="15" hidden="false" customHeight="true" outlineLevel="0" collapsed="false">
      <c r="A2" s="3" t="s">
        <v>192</v>
      </c>
    </row>
    <row r="4" customFormat="false" ht="26.25" hidden="false" customHeight="true" outlineLevel="0" collapsed="false">
      <c r="A4" s="11" t="s">
        <v>65</v>
      </c>
      <c r="B4" s="11" t="s">
        <v>83</v>
      </c>
      <c r="C4" s="11" t="s">
        <v>193</v>
      </c>
      <c r="D4" s="11" t="s">
        <v>194</v>
      </c>
      <c r="E4" s="11" t="s">
        <v>195</v>
      </c>
      <c r="F4" s="11" t="s">
        <v>196</v>
      </c>
      <c r="G4" s="11" t="s">
        <v>197</v>
      </c>
      <c r="H4" s="11" t="s">
        <v>198</v>
      </c>
      <c r="I4" s="11" t="s">
        <v>199</v>
      </c>
      <c r="J4" s="11" t="s">
        <v>200</v>
      </c>
      <c r="K4" s="11" t="s">
        <v>201</v>
      </c>
      <c r="L4" s="11" t="s">
        <v>202</v>
      </c>
      <c r="M4" s="11" t="s">
        <v>6</v>
      </c>
      <c r="N4" s="11" t="s">
        <v>86</v>
      </c>
    </row>
    <row r="5" customFormat="false" ht="34.5" hidden="false" customHeight="true" outlineLevel="0" collapsed="false">
      <c r="A5" s="12" t="s">
        <v>68</v>
      </c>
      <c r="B5" s="12" t="s">
        <v>203</v>
      </c>
      <c r="C5" s="12" t="s">
        <v>204</v>
      </c>
      <c r="D5" s="12" t="s">
        <v>205</v>
      </c>
      <c r="E5" s="12" t="s">
        <v>206</v>
      </c>
      <c r="F5" s="12" t="s">
        <v>207</v>
      </c>
      <c r="G5" s="12" t="s">
        <v>208</v>
      </c>
      <c r="H5" s="12" t="s">
        <v>209</v>
      </c>
      <c r="I5" s="12" t="s">
        <v>210</v>
      </c>
      <c r="J5" s="7" t="s">
        <v>211</v>
      </c>
      <c r="K5" s="7" t="s">
        <v>212</v>
      </c>
      <c r="L5" s="7" t="s">
        <v>213</v>
      </c>
      <c r="M5" s="7" t="s">
        <v>100</v>
      </c>
      <c r="N5" s="7" t="s">
        <v>214</v>
      </c>
    </row>
    <row r="6" customFormat="false" ht="34.5" hidden="false" customHeight="true" outlineLevel="0" collapsed="false">
      <c r="A6" s="12" t="s">
        <v>68</v>
      </c>
      <c r="B6" s="12" t="s">
        <v>203</v>
      </c>
      <c r="C6" s="12" t="s">
        <v>215</v>
      </c>
      <c r="D6" s="12" t="s">
        <v>216</v>
      </c>
      <c r="E6" s="12" t="s">
        <v>206</v>
      </c>
      <c r="F6" s="12" t="s">
        <v>207</v>
      </c>
      <c r="G6" s="12" t="s">
        <v>208</v>
      </c>
      <c r="H6" s="12" t="s">
        <v>217</v>
      </c>
      <c r="I6" s="12" t="s">
        <v>210</v>
      </c>
      <c r="J6" s="7" t="s">
        <v>211</v>
      </c>
      <c r="K6" s="7" t="s">
        <v>212</v>
      </c>
      <c r="L6" s="7" t="s">
        <v>218</v>
      </c>
      <c r="M6" s="7" t="s">
        <v>100</v>
      </c>
      <c r="N6" s="7" t="s">
        <v>214</v>
      </c>
    </row>
    <row r="7" customFormat="false" ht="34.5" hidden="false" customHeight="true" outlineLevel="0" collapsed="false">
      <c r="A7" s="12" t="s">
        <v>68</v>
      </c>
      <c r="B7" s="12" t="s">
        <v>203</v>
      </c>
      <c r="C7" s="12" t="s">
        <v>219</v>
      </c>
      <c r="D7" s="12" t="s">
        <v>220</v>
      </c>
      <c r="E7" s="12" t="s">
        <v>206</v>
      </c>
      <c r="F7" s="12" t="s">
        <v>207</v>
      </c>
      <c r="G7" s="12" t="s">
        <v>208</v>
      </c>
      <c r="H7" s="12" t="s">
        <v>221</v>
      </c>
      <c r="I7" s="12" t="s">
        <v>210</v>
      </c>
      <c r="J7" s="7" t="s">
        <v>211</v>
      </c>
      <c r="K7" s="7" t="s">
        <v>212</v>
      </c>
      <c r="L7" s="7" t="s">
        <v>222</v>
      </c>
      <c r="M7" s="7" t="s">
        <v>100</v>
      </c>
      <c r="N7" s="7" t="s">
        <v>214</v>
      </c>
    </row>
    <row r="8" customFormat="false" ht="34.5" hidden="false" customHeight="true" outlineLevel="0" collapsed="false">
      <c r="A8" s="12" t="s">
        <v>68</v>
      </c>
      <c r="B8" s="12" t="s">
        <v>203</v>
      </c>
      <c r="C8" s="12" t="s">
        <v>223</v>
      </c>
      <c r="D8" s="12" t="s">
        <v>224</v>
      </c>
      <c r="E8" s="12" t="s">
        <v>206</v>
      </c>
      <c r="F8" s="12" t="s">
        <v>207</v>
      </c>
      <c r="G8" s="12" t="s">
        <v>208</v>
      </c>
      <c r="H8" s="12" t="s">
        <v>225</v>
      </c>
      <c r="I8" s="12" t="s">
        <v>210</v>
      </c>
      <c r="J8" s="7" t="s">
        <v>211</v>
      </c>
      <c r="K8" s="7" t="s">
        <v>212</v>
      </c>
      <c r="L8" s="7" t="s">
        <v>226</v>
      </c>
      <c r="M8" s="7" t="s">
        <v>100</v>
      </c>
      <c r="N8" s="7" t="s">
        <v>214</v>
      </c>
    </row>
    <row r="9" customFormat="false" ht="34.5" hidden="false" customHeight="true" outlineLevel="0" collapsed="false">
      <c r="A9" s="12" t="s">
        <v>68</v>
      </c>
      <c r="B9" s="12" t="s">
        <v>203</v>
      </c>
      <c r="C9" s="12" t="s">
        <v>227</v>
      </c>
      <c r="D9" s="12" t="s">
        <v>228</v>
      </c>
      <c r="E9" s="12" t="s">
        <v>206</v>
      </c>
      <c r="F9" s="12" t="s">
        <v>207</v>
      </c>
      <c r="G9" s="12" t="s">
        <v>208</v>
      </c>
      <c r="H9" s="12" t="s">
        <v>229</v>
      </c>
      <c r="I9" s="12" t="s">
        <v>210</v>
      </c>
      <c r="J9" s="7" t="s">
        <v>211</v>
      </c>
      <c r="K9" s="7" t="s">
        <v>212</v>
      </c>
      <c r="L9" s="7" t="s">
        <v>230</v>
      </c>
      <c r="M9" s="7" t="s">
        <v>100</v>
      </c>
      <c r="N9" s="7" t="s">
        <v>231</v>
      </c>
    </row>
    <row r="10" customFormat="false" ht="23.25" hidden="false" customHeight="true" outlineLevel="0" collapsed="false">
      <c r="A10" s="12" t="s">
        <v>68</v>
      </c>
      <c r="B10" s="12" t="s">
        <v>203</v>
      </c>
      <c r="C10" s="12" t="s">
        <v>232</v>
      </c>
      <c r="D10" s="12" t="s">
        <v>233</v>
      </c>
      <c r="E10" s="12" t="s">
        <v>206</v>
      </c>
      <c r="F10" s="12" t="s">
        <v>234</v>
      </c>
      <c r="G10" s="12" t="s">
        <v>235</v>
      </c>
      <c r="H10" s="12" t="s">
        <v>236</v>
      </c>
      <c r="I10" s="12" t="s">
        <v>237</v>
      </c>
      <c r="J10" s="7" t="s">
        <v>238</v>
      </c>
      <c r="K10" s="7" t="s">
        <v>239</v>
      </c>
      <c r="L10" s="7" t="s">
        <v>240</v>
      </c>
      <c r="M10" s="7" t="s">
        <v>100</v>
      </c>
      <c r="N10" s="7" t="s">
        <v>214</v>
      </c>
    </row>
    <row r="11" customFormat="false" ht="23.25" hidden="false" customHeight="true" outlineLevel="0" collapsed="false">
      <c r="A11" s="13" t="s">
        <v>68</v>
      </c>
      <c r="B11" s="13" t="s">
        <v>203</v>
      </c>
      <c r="C11" s="13" t="s">
        <v>149</v>
      </c>
      <c r="D11" s="13" t="s">
        <v>241</v>
      </c>
      <c r="E11" s="13" t="s">
        <v>242</v>
      </c>
      <c r="F11" s="13" t="s">
        <v>234</v>
      </c>
      <c r="G11" s="13" t="s">
        <v>243</v>
      </c>
      <c r="H11" s="13" t="s">
        <v>244</v>
      </c>
      <c r="I11" s="13" t="s">
        <v>245</v>
      </c>
      <c r="J11" s="7" t="s">
        <v>246</v>
      </c>
      <c r="K11" s="7" t="s">
        <v>247</v>
      </c>
      <c r="L11" s="7" t="s">
        <v>248</v>
      </c>
      <c r="M11" s="7" t="s">
        <v>100</v>
      </c>
      <c r="N11" s="7" t="s">
        <v>249</v>
      </c>
    </row>
    <row r="12" customFormat="false" ht="34.5" hidden="false" customHeight="true" outlineLevel="0" collapsed="false">
      <c r="A12" s="12" t="s">
        <v>68</v>
      </c>
      <c r="B12" s="12" t="s">
        <v>250</v>
      </c>
      <c r="C12" s="12" t="s">
        <v>251</v>
      </c>
      <c r="D12" s="12" t="s">
        <v>252</v>
      </c>
      <c r="E12" s="12"/>
      <c r="F12" s="12" t="s">
        <v>253</v>
      </c>
      <c r="G12" s="12" t="s">
        <v>254</v>
      </c>
      <c r="H12" s="12" t="s">
        <v>255</v>
      </c>
      <c r="I12" s="12" t="s">
        <v>256</v>
      </c>
      <c r="J12" s="7"/>
      <c r="K12" s="7"/>
      <c r="L12" s="7" t="s">
        <v>257</v>
      </c>
      <c r="M12" s="7" t="s">
        <v>55</v>
      </c>
      <c r="N12" s="7"/>
    </row>
    <row r="13" customFormat="false" ht="34.5" hidden="false" customHeight="true" outlineLevel="0" collapsed="false">
      <c r="A13" s="12" t="s">
        <v>68</v>
      </c>
      <c r="B13" s="12" t="s">
        <v>250</v>
      </c>
      <c r="C13" s="12" t="s">
        <v>258</v>
      </c>
      <c r="D13" s="12" t="s">
        <v>259</v>
      </c>
      <c r="E13" s="12"/>
      <c r="F13" s="12" t="s">
        <v>253</v>
      </c>
      <c r="G13" s="12" t="s">
        <v>260</v>
      </c>
      <c r="H13" s="12" t="s">
        <v>261</v>
      </c>
      <c r="I13" s="12" t="s">
        <v>256</v>
      </c>
      <c r="J13" s="7"/>
      <c r="K13" s="7"/>
      <c r="L13" s="7" t="s">
        <v>257</v>
      </c>
      <c r="M13" s="7" t="s">
        <v>55</v>
      </c>
      <c r="N13" s="7"/>
    </row>
    <row r="14" customFormat="false" ht="34.5" hidden="false" customHeight="true" outlineLevel="0" collapsed="false">
      <c r="A14" s="12" t="s">
        <v>68</v>
      </c>
      <c r="B14" s="12" t="s">
        <v>250</v>
      </c>
      <c r="C14" s="12" t="s">
        <v>262</v>
      </c>
      <c r="D14" s="12" t="s">
        <v>263</v>
      </c>
      <c r="E14" s="12"/>
      <c r="F14" s="12" t="s">
        <v>253</v>
      </c>
      <c r="G14" s="12" t="s">
        <v>264</v>
      </c>
      <c r="H14" s="12" t="s">
        <v>265</v>
      </c>
      <c r="I14" s="12" t="s">
        <v>256</v>
      </c>
      <c r="J14" s="7"/>
      <c r="K14" s="7"/>
      <c r="L14" s="7" t="s">
        <v>257</v>
      </c>
      <c r="M14" s="7" t="s">
        <v>55</v>
      </c>
      <c r="N14" s="7"/>
    </row>
    <row r="15" customFormat="false" ht="34.5" hidden="false" customHeight="true" outlineLevel="0" collapsed="false">
      <c r="A15" s="12" t="s">
        <v>68</v>
      </c>
      <c r="B15" s="12" t="s">
        <v>250</v>
      </c>
      <c r="C15" s="12" t="s">
        <v>266</v>
      </c>
      <c r="D15" s="12" t="s">
        <v>267</v>
      </c>
      <c r="E15" s="12"/>
      <c r="F15" s="12" t="s">
        <v>253</v>
      </c>
      <c r="G15" s="12" t="s">
        <v>268</v>
      </c>
      <c r="H15" s="12" t="s">
        <v>269</v>
      </c>
      <c r="I15" s="12" t="s">
        <v>256</v>
      </c>
      <c r="J15" s="7"/>
      <c r="K15" s="7"/>
      <c r="L15" s="7" t="s">
        <v>257</v>
      </c>
      <c r="M15" s="7" t="s">
        <v>55</v>
      </c>
      <c r="N15" s="7"/>
    </row>
    <row r="16" customFormat="false" ht="34.5" hidden="false" customHeight="true" outlineLevel="0" collapsed="false">
      <c r="A16" s="12" t="s">
        <v>68</v>
      </c>
      <c r="B16" s="12" t="s">
        <v>250</v>
      </c>
      <c r="C16" s="12" t="s">
        <v>270</v>
      </c>
      <c r="D16" s="12" t="s">
        <v>271</v>
      </c>
      <c r="E16" s="12"/>
      <c r="F16" s="12" t="s">
        <v>253</v>
      </c>
      <c r="G16" s="12" t="s">
        <v>272</v>
      </c>
      <c r="H16" s="12" t="s">
        <v>273</v>
      </c>
      <c r="I16" s="12" t="s">
        <v>256</v>
      </c>
      <c r="J16" s="7"/>
      <c r="K16" s="7"/>
      <c r="L16" s="7" t="s">
        <v>257</v>
      </c>
      <c r="M16" s="7" t="s">
        <v>55</v>
      </c>
      <c r="N16" s="7"/>
    </row>
    <row r="17" customFormat="false" ht="34.5" hidden="false" customHeight="true" outlineLevel="0" collapsed="false">
      <c r="A17" s="12" t="s">
        <v>68</v>
      </c>
      <c r="B17" s="12" t="s">
        <v>250</v>
      </c>
      <c r="C17" s="12" t="s">
        <v>274</v>
      </c>
      <c r="D17" s="12" t="s">
        <v>275</v>
      </c>
      <c r="E17" s="12"/>
      <c r="F17" s="12" t="s">
        <v>253</v>
      </c>
      <c r="G17" s="12" t="s">
        <v>272</v>
      </c>
      <c r="H17" s="12" t="s">
        <v>276</v>
      </c>
      <c r="I17" s="12" t="s">
        <v>256</v>
      </c>
      <c r="J17" s="7"/>
      <c r="K17" s="7"/>
      <c r="L17" s="7" t="s">
        <v>257</v>
      </c>
      <c r="M17" s="7" t="s">
        <v>55</v>
      </c>
      <c r="N17" s="7"/>
    </row>
    <row r="18" customFormat="false" ht="34.5" hidden="false" customHeight="true" outlineLevel="0" collapsed="false">
      <c r="A18" s="12" t="s">
        <v>68</v>
      </c>
      <c r="B18" s="12" t="s">
        <v>250</v>
      </c>
      <c r="C18" s="12" t="s">
        <v>277</v>
      </c>
      <c r="D18" s="12" t="s">
        <v>278</v>
      </c>
      <c r="E18" s="12"/>
      <c r="F18" s="12" t="s">
        <v>253</v>
      </c>
      <c r="G18" s="12" t="s">
        <v>279</v>
      </c>
      <c r="H18" s="12" t="s">
        <v>280</v>
      </c>
      <c r="I18" s="12" t="s">
        <v>256</v>
      </c>
      <c r="J18" s="7"/>
      <c r="K18" s="7"/>
      <c r="L18" s="7" t="s">
        <v>257</v>
      </c>
      <c r="M18" s="7" t="s">
        <v>55</v>
      </c>
      <c r="N18" s="7"/>
    </row>
    <row r="19" customFormat="false" ht="34.5" hidden="false" customHeight="true" outlineLevel="0" collapsed="false">
      <c r="A19" s="12" t="s">
        <v>68</v>
      </c>
      <c r="B19" s="12" t="s">
        <v>250</v>
      </c>
      <c r="C19" s="12" t="s">
        <v>281</v>
      </c>
      <c r="D19" s="12" t="s">
        <v>282</v>
      </c>
      <c r="E19" s="12" t="s">
        <v>206</v>
      </c>
      <c r="F19" s="12" t="s">
        <v>253</v>
      </c>
      <c r="G19" s="12" t="s">
        <v>272</v>
      </c>
      <c r="H19" s="12" t="s">
        <v>283</v>
      </c>
      <c r="I19" s="12" t="s">
        <v>256</v>
      </c>
      <c r="J19" s="7"/>
      <c r="K19" s="7"/>
      <c r="L19" s="7" t="s">
        <v>257</v>
      </c>
      <c r="M19" s="7" t="s">
        <v>55</v>
      </c>
      <c r="N19" s="7"/>
    </row>
    <row r="20" customFormat="false" ht="34.5" hidden="false" customHeight="true" outlineLevel="0" collapsed="false">
      <c r="A20" s="12" t="s">
        <v>68</v>
      </c>
      <c r="B20" s="12" t="s">
        <v>250</v>
      </c>
      <c r="C20" s="12" t="s">
        <v>284</v>
      </c>
      <c r="D20" s="12" t="s">
        <v>285</v>
      </c>
      <c r="E20" s="12"/>
      <c r="F20" s="12" t="s">
        <v>253</v>
      </c>
      <c r="G20" s="12" t="s">
        <v>286</v>
      </c>
      <c r="H20" s="12" t="s">
        <v>287</v>
      </c>
      <c r="I20" s="12" t="s">
        <v>256</v>
      </c>
      <c r="J20" s="7"/>
      <c r="K20" s="7"/>
      <c r="L20" s="7" t="s">
        <v>257</v>
      </c>
      <c r="M20" s="7" t="s">
        <v>55</v>
      </c>
      <c r="N20" s="7"/>
    </row>
    <row r="21" customFormat="false" ht="34.5" hidden="false" customHeight="true" outlineLevel="0" collapsed="false">
      <c r="A21" s="12" t="s">
        <v>68</v>
      </c>
      <c r="B21" s="12" t="s">
        <v>250</v>
      </c>
      <c r="C21" s="12" t="s">
        <v>288</v>
      </c>
      <c r="D21" s="12" t="s">
        <v>289</v>
      </c>
      <c r="E21" s="12"/>
      <c r="F21" s="12" t="s">
        <v>253</v>
      </c>
      <c r="G21" s="12" t="s">
        <v>290</v>
      </c>
      <c r="H21" s="12" t="s">
        <v>291</v>
      </c>
      <c r="I21" s="12" t="s">
        <v>256</v>
      </c>
      <c r="J21" s="7"/>
      <c r="K21" s="7"/>
      <c r="L21" s="7" t="s">
        <v>257</v>
      </c>
      <c r="M21" s="7" t="s">
        <v>55</v>
      </c>
      <c r="N21" s="7"/>
    </row>
    <row r="22" customFormat="false" ht="34.5" hidden="false" customHeight="true" outlineLevel="0" collapsed="false">
      <c r="A22" s="12" t="s">
        <v>68</v>
      </c>
      <c r="B22" s="12" t="s">
        <v>250</v>
      </c>
      <c r="C22" s="12" t="s">
        <v>292</v>
      </c>
      <c r="D22" s="12" t="s">
        <v>293</v>
      </c>
      <c r="E22" s="12"/>
      <c r="F22" s="12" t="s">
        <v>253</v>
      </c>
      <c r="G22" s="12" t="s">
        <v>294</v>
      </c>
      <c r="H22" s="12" t="s">
        <v>295</v>
      </c>
      <c r="I22" s="12" t="s">
        <v>256</v>
      </c>
      <c r="J22" s="7"/>
      <c r="K22" s="7"/>
      <c r="L22" s="7" t="s">
        <v>257</v>
      </c>
      <c r="M22" s="7" t="s">
        <v>55</v>
      </c>
      <c r="N22" s="7"/>
    </row>
    <row r="23" customFormat="false" ht="34.5" hidden="false" customHeight="true" outlineLevel="0" collapsed="false">
      <c r="A23" s="12" t="s">
        <v>68</v>
      </c>
      <c r="B23" s="12" t="s">
        <v>296</v>
      </c>
      <c r="C23" s="12" t="s">
        <v>204</v>
      </c>
      <c r="D23" s="12" t="s">
        <v>297</v>
      </c>
      <c r="E23" s="12" t="s">
        <v>206</v>
      </c>
      <c r="F23" s="12" t="s">
        <v>207</v>
      </c>
      <c r="G23" s="12" t="s">
        <v>298</v>
      </c>
      <c r="H23" s="12" t="s">
        <v>209</v>
      </c>
      <c r="I23" s="12" t="s">
        <v>210</v>
      </c>
      <c r="J23" s="7" t="s">
        <v>211</v>
      </c>
      <c r="K23" s="7" t="s">
        <v>212</v>
      </c>
      <c r="L23" s="7" t="s">
        <v>299</v>
      </c>
      <c r="M23" s="7" t="s">
        <v>100</v>
      </c>
      <c r="N23" s="7" t="s">
        <v>214</v>
      </c>
    </row>
    <row r="24" customFormat="false" ht="34.5" hidden="false" customHeight="true" outlineLevel="0" collapsed="false">
      <c r="A24" s="12" t="s">
        <v>68</v>
      </c>
      <c r="B24" s="12" t="s">
        <v>296</v>
      </c>
      <c r="C24" s="12" t="s">
        <v>215</v>
      </c>
      <c r="D24" s="12" t="s">
        <v>300</v>
      </c>
      <c r="E24" s="12" t="s">
        <v>206</v>
      </c>
      <c r="F24" s="12" t="s">
        <v>207</v>
      </c>
      <c r="G24" s="12" t="s">
        <v>298</v>
      </c>
      <c r="H24" s="12" t="s">
        <v>217</v>
      </c>
      <c r="I24" s="12" t="s">
        <v>210</v>
      </c>
      <c r="J24" s="7" t="s">
        <v>211</v>
      </c>
      <c r="K24" s="7" t="s">
        <v>212</v>
      </c>
      <c r="L24" s="7" t="s">
        <v>301</v>
      </c>
      <c r="M24" s="7" t="s">
        <v>100</v>
      </c>
      <c r="N24" s="7" t="s">
        <v>214</v>
      </c>
    </row>
    <row r="25" customFormat="false" ht="34.5" hidden="false" customHeight="true" outlineLevel="0" collapsed="false">
      <c r="A25" s="12" t="s">
        <v>68</v>
      </c>
      <c r="B25" s="12" t="s">
        <v>296</v>
      </c>
      <c r="C25" s="12" t="s">
        <v>219</v>
      </c>
      <c r="D25" s="12" t="s">
        <v>302</v>
      </c>
      <c r="E25" s="12" t="s">
        <v>206</v>
      </c>
      <c r="F25" s="12" t="s">
        <v>207</v>
      </c>
      <c r="G25" s="12" t="s">
        <v>298</v>
      </c>
      <c r="H25" s="12" t="s">
        <v>221</v>
      </c>
      <c r="I25" s="12" t="s">
        <v>210</v>
      </c>
      <c r="J25" s="7" t="s">
        <v>211</v>
      </c>
      <c r="K25" s="7" t="s">
        <v>212</v>
      </c>
      <c r="L25" s="7" t="s">
        <v>303</v>
      </c>
      <c r="M25" s="7" t="s">
        <v>100</v>
      </c>
      <c r="N25" s="7" t="s">
        <v>214</v>
      </c>
    </row>
    <row r="26" customFormat="false" ht="34.5" hidden="false" customHeight="true" outlineLevel="0" collapsed="false">
      <c r="A26" s="12" t="s">
        <v>68</v>
      </c>
      <c r="B26" s="12" t="s">
        <v>296</v>
      </c>
      <c r="C26" s="12" t="s">
        <v>223</v>
      </c>
      <c r="D26" s="12" t="s">
        <v>304</v>
      </c>
      <c r="E26" s="12" t="s">
        <v>206</v>
      </c>
      <c r="F26" s="12" t="s">
        <v>207</v>
      </c>
      <c r="G26" s="12" t="s">
        <v>298</v>
      </c>
      <c r="H26" s="12" t="s">
        <v>225</v>
      </c>
      <c r="I26" s="12" t="s">
        <v>210</v>
      </c>
      <c r="J26" s="7" t="s">
        <v>211</v>
      </c>
      <c r="K26" s="7" t="s">
        <v>212</v>
      </c>
      <c r="L26" s="7" t="s">
        <v>305</v>
      </c>
      <c r="M26" s="7" t="s">
        <v>100</v>
      </c>
      <c r="N26" s="7" t="s">
        <v>214</v>
      </c>
    </row>
    <row r="27" customFormat="false" ht="34.5" hidden="false" customHeight="true" outlineLevel="0" collapsed="false">
      <c r="A27" s="12" t="s">
        <v>68</v>
      </c>
      <c r="B27" s="12" t="s">
        <v>296</v>
      </c>
      <c r="C27" s="12" t="s">
        <v>227</v>
      </c>
      <c r="D27" s="12" t="s">
        <v>306</v>
      </c>
      <c r="E27" s="12" t="s">
        <v>206</v>
      </c>
      <c r="F27" s="12" t="s">
        <v>207</v>
      </c>
      <c r="G27" s="12" t="s">
        <v>298</v>
      </c>
      <c r="H27" s="12" t="s">
        <v>229</v>
      </c>
      <c r="I27" s="12" t="s">
        <v>210</v>
      </c>
      <c r="J27" s="7" t="s">
        <v>211</v>
      </c>
      <c r="K27" s="7" t="s">
        <v>212</v>
      </c>
      <c r="L27" s="7" t="s">
        <v>307</v>
      </c>
      <c r="M27" s="7" t="s">
        <v>100</v>
      </c>
      <c r="N27" s="7" t="s">
        <v>214</v>
      </c>
    </row>
    <row r="28" customFormat="false" ht="23.25" hidden="false" customHeight="true" outlineLevel="0" collapsed="false">
      <c r="A28" s="12" t="s">
        <v>68</v>
      </c>
      <c r="B28" s="12" t="s">
        <v>296</v>
      </c>
      <c r="C28" s="12" t="s">
        <v>232</v>
      </c>
      <c r="D28" s="12" t="s">
        <v>308</v>
      </c>
      <c r="E28" s="12" t="s">
        <v>206</v>
      </c>
      <c r="F28" s="12" t="s">
        <v>234</v>
      </c>
      <c r="G28" s="12" t="s">
        <v>309</v>
      </c>
      <c r="H28" s="12" t="s">
        <v>310</v>
      </c>
      <c r="I28" s="12" t="s">
        <v>237</v>
      </c>
      <c r="J28" s="7" t="s">
        <v>311</v>
      </c>
      <c r="K28" s="7" t="s">
        <v>312</v>
      </c>
      <c r="L28" s="7" t="s">
        <v>313</v>
      </c>
      <c r="M28" s="7" t="s">
        <v>100</v>
      </c>
      <c r="N28" s="7" t="s">
        <v>214</v>
      </c>
    </row>
    <row r="29" customFormat="false" ht="23.25" hidden="false" customHeight="true" outlineLevel="0" collapsed="false">
      <c r="A29" s="13" t="s">
        <v>69</v>
      </c>
      <c r="B29" s="13" t="s">
        <v>296</v>
      </c>
      <c r="C29" s="13" t="s">
        <v>149</v>
      </c>
      <c r="D29" s="13" t="s">
        <v>314</v>
      </c>
      <c r="E29" s="13" t="s">
        <v>242</v>
      </c>
      <c r="F29" s="13" t="s">
        <v>234</v>
      </c>
      <c r="G29" s="13" t="s">
        <v>315</v>
      </c>
      <c r="H29" s="13" t="s">
        <v>316</v>
      </c>
      <c r="I29" s="13" t="s">
        <v>317</v>
      </c>
      <c r="J29" s="7" t="s">
        <v>318</v>
      </c>
      <c r="K29" s="7" t="s">
        <v>319</v>
      </c>
      <c r="L29" s="7" t="s">
        <v>320</v>
      </c>
      <c r="M29" s="7" t="s">
        <v>100</v>
      </c>
      <c r="N29" s="7" t="s">
        <v>321</v>
      </c>
    </row>
    <row r="30" customFormat="false" ht="34.5" hidden="false" customHeight="true" outlineLevel="0" collapsed="false">
      <c r="A30" s="12" t="s">
        <v>68</v>
      </c>
      <c r="B30" s="12" t="s">
        <v>322</v>
      </c>
      <c r="C30" s="12" t="s">
        <v>251</v>
      </c>
      <c r="D30" s="12" t="s">
        <v>323</v>
      </c>
      <c r="E30" s="12"/>
      <c r="F30" s="12" t="s">
        <v>253</v>
      </c>
      <c r="G30" s="12" t="s">
        <v>254</v>
      </c>
      <c r="H30" s="12" t="s">
        <v>255</v>
      </c>
      <c r="I30" s="12" t="s">
        <v>256</v>
      </c>
      <c r="J30" s="7"/>
      <c r="K30" s="7"/>
      <c r="L30" s="7" t="s">
        <v>324</v>
      </c>
      <c r="M30" s="7" t="s">
        <v>55</v>
      </c>
      <c r="N30" s="7"/>
    </row>
    <row r="31" customFormat="false" ht="34.5" hidden="false" customHeight="true" outlineLevel="0" collapsed="false">
      <c r="A31" s="12" t="s">
        <v>68</v>
      </c>
      <c r="B31" s="12" t="s">
        <v>322</v>
      </c>
      <c r="C31" s="12" t="s">
        <v>258</v>
      </c>
      <c r="D31" s="12" t="s">
        <v>325</v>
      </c>
      <c r="E31" s="12"/>
      <c r="F31" s="12" t="s">
        <v>253</v>
      </c>
      <c r="G31" s="12" t="s">
        <v>260</v>
      </c>
      <c r="H31" s="12" t="s">
        <v>261</v>
      </c>
      <c r="I31" s="12" t="s">
        <v>256</v>
      </c>
      <c r="J31" s="7"/>
      <c r="K31" s="7"/>
      <c r="L31" s="7" t="s">
        <v>324</v>
      </c>
      <c r="M31" s="7" t="s">
        <v>55</v>
      </c>
      <c r="N31" s="7"/>
    </row>
    <row r="32" customFormat="false" ht="34.5" hidden="false" customHeight="true" outlineLevel="0" collapsed="false">
      <c r="A32" s="12" t="s">
        <v>68</v>
      </c>
      <c r="B32" s="12" t="s">
        <v>322</v>
      </c>
      <c r="C32" s="12" t="s">
        <v>262</v>
      </c>
      <c r="D32" s="12" t="s">
        <v>326</v>
      </c>
      <c r="E32" s="12"/>
      <c r="F32" s="12" t="s">
        <v>253</v>
      </c>
      <c r="G32" s="12" t="s">
        <v>264</v>
      </c>
      <c r="H32" s="12" t="s">
        <v>265</v>
      </c>
      <c r="I32" s="12" t="s">
        <v>256</v>
      </c>
      <c r="J32" s="7"/>
      <c r="K32" s="7"/>
      <c r="L32" s="7" t="s">
        <v>324</v>
      </c>
      <c r="M32" s="7" t="s">
        <v>55</v>
      </c>
      <c r="N32" s="7"/>
    </row>
    <row r="33" customFormat="false" ht="34.5" hidden="false" customHeight="true" outlineLevel="0" collapsed="false">
      <c r="A33" s="12" t="s">
        <v>68</v>
      </c>
      <c r="B33" s="12" t="s">
        <v>322</v>
      </c>
      <c r="C33" s="12" t="s">
        <v>266</v>
      </c>
      <c r="D33" s="12" t="s">
        <v>327</v>
      </c>
      <c r="E33" s="12"/>
      <c r="F33" s="12" t="s">
        <v>253</v>
      </c>
      <c r="G33" s="12" t="s">
        <v>268</v>
      </c>
      <c r="H33" s="12" t="s">
        <v>269</v>
      </c>
      <c r="I33" s="12" t="s">
        <v>256</v>
      </c>
      <c r="J33" s="7"/>
      <c r="K33" s="7"/>
      <c r="L33" s="7" t="s">
        <v>324</v>
      </c>
      <c r="M33" s="7" t="s">
        <v>55</v>
      </c>
      <c r="N33" s="7"/>
    </row>
    <row r="34" customFormat="false" ht="34.5" hidden="false" customHeight="true" outlineLevel="0" collapsed="false">
      <c r="A34" s="12" t="s">
        <v>68</v>
      </c>
      <c r="B34" s="12" t="s">
        <v>322</v>
      </c>
      <c r="C34" s="12" t="s">
        <v>270</v>
      </c>
      <c r="D34" s="12" t="s">
        <v>328</v>
      </c>
      <c r="E34" s="12"/>
      <c r="F34" s="12" t="s">
        <v>253</v>
      </c>
      <c r="G34" s="12" t="s">
        <v>272</v>
      </c>
      <c r="H34" s="12" t="s">
        <v>273</v>
      </c>
      <c r="I34" s="12" t="s">
        <v>256</v>
      </c>
      <c r="J34" s="7"/>
      <c r="K34" s="7"/>
      <c r="L34" s="7" t="s">
        <v>324</v>
      </c>
      <c r="M34" s="7" t="s">
        <v>55</v>
      </c>
      <c r="N34" s="7"/>
    </row>
    <row r="35" customFormat="false" ht="34.5" hidden="false" customHeight="true" outlineLevel="0" collapsed="false">
      <c r="A35" s="12" t="s">
        <v>68</v>
      </c>
      <c r="B35" s="12" t="s">
        <v>322</v>
      </c>
      <c r="C35" s="12" t="s">
        <v>274</v>
      </c>
      <c r="D35" s="12" t="s">
        <v>329</v>
      </c>
      <c r="E35" s="12"/>
      <c r="F35" s="12" t="s">
        <v>253</v>
      </c>
      <c r="G35" s="12" t="s">
        <v>272</v>
      </c>
      <c r="H35" s="12" t="s">
        <v>276</v>
      </c>
      <c r="I35" s="12" t="s">
        <v>256</v>
      </c>
      <c r="J35" s="7"/>
      <c r="K35" s="7"/>
      <c r="L35" s="7" t="s">
        <v>324</v>
      </c>
      <c r="M35" s="7" t="s">
        <v>55</v>
      </c>
      <c r="N35" s="7"/>
    </row>
    <row r="36" customFormat="false" ht="34.5" hidden="false" customHeight="true" outlineLevel="0" collapsed="false">
      <c r="A36" s="12" t="s">
        <v>68</v>
      </c>
      <c r="B36" s="12" t="s">
        <v>322</v>
      </c>
      <c r="C36" s="12" t="s">
        <v>277</v>
      </c>
      <c r="D36" s="12" t="s">
        <v>330</v>
      </c>
      <c r="E36" s="12"/>
      <c r="F36" s="12" t="s">
        <v>253</v>
      </c>
      <c r="G36" s="12" t="s">
        <v>279</v>
      </c>
      <c r="H36" s="12" t="s">
        <v>280</v>
      </c>
      <c r="I36" s="12" t="s">
        <v>256</v>
      </c>
      <c r="J36" s="7"/>
      <c r="K36" s="7"/>
      <c r="L36" s="7" t="s">
        <v>324</v>
      </c>
      <c r="M36" s="7" t="s">
        <v>55</v>
      </c>
      <c r="N36" s="7"/>
    </row>
    <row r="37" customFormat="false" ht="34.5" hidden="false" customHeight="true" outlineLevel="0" collapsed="false">
      <c r="A37" s="12" t="s">
        <v>68</v>
      </c>
      <c r="B37" s="12" t="s">
        <v>322</v>
      </c>
      <c r="C37" s="12" t="s">
        <v>281</v>
      </c>
      <c r="D37" s="12" t="s">
        <v>331</v>
      </c>
      <c r="E37" s="12" t="s">
        <v>206</v>
      </c>
      <c r="F37" s="12" t="s">
        <v>253</v>
      </c>
      <c r="G37" s="12" t="s">
        <v>272</v>
      </c>
      <c r="H37" s="12" t="s">
        <v>283</v>
      </c>
      <c r="I37" s="12" t="s">
        <v>256</v>
      </c>
      <c r="J37" s="7"/>
      <c r="K37" s="7"/>
      <c r="L37" s="7" t="s">
        <v>324</v>
      </c>
      <c r="M37" s="7" t="s">
        <v>55</v>
      </c>
      <c r="N37" s="7"/>
    </row>
    <row r="38" customFormat="false" ht="34.5" hidden="false" customHeight="true" outlineLevel="0" collapsed="false">
      <c r="A38" s="12" t="s">
        <v>68</v>
      </c>
      <c r="B38" s="12" t="s">
        <v>322</v>
      </c>
      <c r="C38" s="12" t="s">
        <v>284</v>
      </c>
      <c r="D38" s="12" t="s">
        <v>332</v>
      </c>
      <c r="E38" s="12"/>
      <c r="F38" s="12" t="s">
        <v>253</v>
      </c>
      <c r="G38" s="12" t="s">
        <v>286</v>
      </c>
      <c r="H38" s="12" t="s">
        <v>287</v>
      </c>
      <c r="I38" s="12" t="s">
        <v>256</v>
      </c>
      <c r="J38" s="7"/>
      <c r="K38" s="7"/>
      <c r="L38" s="7" t="s">
        <v>324</v>
      </c>
      <c r="M38" s="7" t="s">
        <v>55</v>
      </c>
      <c r="N38" s="7"/>
    </row>
    <row r="39" customFormat="false" ht="34.5" hidden="false" customHeight="true" outlineLevel="0" collapsed="false">
      <c r="A39" s="12" t="s">
        <v>68</v>
      </c>
      <c r="B39" s="12" t="s">
        <v>322</v>
      </c>
      <c r="C39" s="12" t="s">
        <v>288</v>
      </c>
      <c r="D39" s="12" t="s">
        <v>333</v>
      </c>
      <c r="E39" s="12"/>
      <c r="F39" s="12" t="s">
        <v>253</v>
      </c>
      <c r="G39" s="12" t="s">
        <v>290</v>
      </c>
      <c r="H39" s="12" t="s">
        <v>291</v>
      </c>
      <c r="I39" s="12" t="s">
        <v>256</v>
      </c>
      <c r="J39" s="7"/>
      <c r="K39" s="7"/>
      <c r="L39" s="7" t="s">
        <v>324</v>
      </c>
      <c r="M39" s="7" t="s">
        <v>55</v>
      </c>
      <c r="N39" s="7"/>
    </row>
    <row r="40" customFormat="false" ht="34.5" hidden="false" customHeight="true" outlineLevel="0" collapsed="false">
      <c r="A40" s="12" t="s">
        <v>68</v>
      </c>
      <c r="B40" s="12" t="s">
        <v>322</v>
      </c>
      <c r="C40" s="12" t="s">
        <v>292</v>
      </c>
      <c r="D40" s="12" t="s">
        <v>334</v>
      </c>
      <c r="E40" s="12"/>
      <c r="F40" s="12" t="s">
        <v>253</v>
      </c>
      <c r="G40" s="12" t="s">
        <v>294</v>
      </c>
      <c r="H40" s="12" t="s">
        <v>295</v>
      </c>
      <c r="I40" s="12" t="s">
        <v>256</v>
      </c>
      <c r="J40" s="7"/>
      <c r="K40" s="7"/>
      <c r="L40" s="7" t="s">
        <v>324</v>
      </c>
      <c r="M40" s="7" t="s">
        <v>55</v>
      </c>
      <c r="N40" s="7"/>
    </row>
    <row r="41" customFormat="false" ht="34.5" hidden="false" customHeight="true" outlineLevel="0" collapsed="false">
      <c r="A41" s="12" t="s">
        <v>68</v>
      </c>
      <c r="B41" s="12" t="s">
        <v>335</v>
      </c>
      <c r="C41" s="12" t="s">
        <v>204</v>
      </c>
      <c r="D41" s="12" t="s">
        <v>336</v>
      </c>
      <c r="E41" s="12" t="s">
        <v>206</v>
      </c>
      <c r="F41" s="12" t="s">
        <v>207</v>
      </c>
      <c r="G41" s="12" t="s">
        <v>337</v>
      </c>
      <c r="H41" s="12" t="s">
        <v>338</v>
      </c>
      <c r="I41" s="12" t="s">
        <v>210</v>
      </c>
      <c r="J41" s="7"/>
      <c r="K41" s="7"/>
      <c r="L41" s="7" t="s">
        <v>339</v>
      </c>
      <c r="M41" s="7" t="s">
        <v>55</v>
      </c>
      <c r="N41" s="7"/>
    </row>
    <row r="42" customFormat="false" ht="34.5" hidden="false" customHeight="true" outlineLevel="0" collapsed="false">
      <c r="A42" s="12" t="s">
        <v>68</v>
      </c>
      <c r="B42" s="12" t="s">
        <v>335</v>
      </c>
      <c r="C42" s="12" t="s">
        <v>215</v>
      </c>
      <c r="D42" s="12" t="s">
        <v>340</v>
      </c>
      <c r="E42" s="12" t="s">
        <v>206</v>
      </c>
      <c r="F42" s="12" t="s">
        <v>207</v>
      </c>
      <c r="G42" s="12" t="s">
        <v>337</v>
      </c>
      <c r="H42" s="12" t="s">
        <v>338</v>
      </c>
      <c r="I42" s="12" t="s">
        <v>210</v>
      </c>
      <c r="J42" s="7"/>
      <c r="K42" s="7"/>
      <c r="L42" s="7" t="s">
        <v>339</v>
      </c>
      <c r="M42" s="7" t="s">
        <v>55</v>
      </c>
      <c r="N42" s="7"/>
    </row>
    <row r="43" customFormat="false" ht="34.5" hidden="false" customHeight="true" outlineLevel="0" collapsed="false">
      <c r="A43" s="12" t="s">
        <v>68</v>
      </c>
      <c r="B43" s="12" t="s">
        <v>335</v>
      </c>
      <c r="C43" s="12" t="s">
        <v>219</v>
      </c>
      <c r="D43" s="12" t="s">
        <v>341</v>
      </c>
      <c r="E43" s="12" t="s">
        <v>206</v>
      </c>
      <c r="F43" s="12" t="s">
        <v>207</v>
      </c>
      <c r="G43" s="12" t="s">
        <v>337</v>
      </c>
      <c r="H43" s="12" t="s">
        <v>338</v>
      </c>
      <c r="I43" s="12" t="s">
        <v>210</v>
      </c>
      <c r="J43" s="7"/>
      <c r="K43" s="7"/>
      <c r="L43" s="7" t="s">
        <v>339</v>
      </c>
      <c r="M43" s="7" t="s">
        <v>55</v>
      </c>
      <c r="N43" s="7"/>
    </row>
    <row r="44" customFormat="false" ht="34.5" hidden="false" customHeight="true" outlineLevel="0" collapsed="false">
      <c r="A44" s="12" t="s">
        <v>68</v>
      </c>
      <c r="B44" s="12" t="s">
        <v>335</v>
      </c>
      <c r="C44" s="12" t="s">
        <v>223</v>
      </c>
      <c r="D44" s="12" t="s">
        <v>342</v>
      </c>
      <c r="E44" s="12" t="s">
        <v>206</v>
      </c>
      <c r="F44" s="12" t="s">
        <v>207</v>
      </c>
      <c r="G44" s="12" t="s">
        <v>337</v>
      </c>
      <c r="H44" s="12" t="s">
        <v>338</v>
      </c>
      <c r="I44" s="12" t="s">
        <v>210</v>
      </c>
      <c r="J44" s="7"/>
      <c r="K44" s="7"/>
      <c r="L44" s="7" t="s">
        <v>339</v>
      </c>
      <c r="M44" s="7" t="s">
        <v>55</v>
      </c>
      <c r="N44" s="7"/>
    </row>
    <row r="45" customFormat="false" ht="34.5" hidden="false" customHeight="true" outlineLevel="0" collapsed="false">
      <c r="A45" s="12" t="s">
        <v>68</v>
      </c>
      <c r="B45" s="12" t="s">
        <v>335</v>
      </c>
      <c r="C45" s="12" t="s">
        <v>227</v>
      </c>
      <c r="D45" s="12" t="s">
        <v>343</v>
      </c>
      <c r="E45" s="12" t="s">
        <v>206</v>
      </c>
      <c r="F45" s="12" t="s">
        <v>207</v>
      </c>
      <c r="G45" s="12" t="s">
        <v>337</v>
      </c>
      <c r="H45" s="12" t="s">
        <v>338</v>
      </c>
      <c r="I45" s="12" t="s">
        <v>210</v>
      </c>
      <c r="J45" s="7"/>
      <c r="K45" s="7"/>
      <c r="L45" s="7" t="s">
        <v>339</v>
      </c>
      <c r="M45" s="7" t="s">
        <v>55</v>
      </c>
      <c r="N45" s="7"/>
    </row>
    <row r="46" customFormat="false" ht="34.5" hidden="false" customHeight="true" outlineLevel="0" collapsed="false">
      <c r="A46" s="12" t="s">
        <v>68</v>
      </c>
      <c r="B46" s="12" t="s">
        <v>335</v>
      </c>
      <c r="C46" s="12" t="s">
        <v>344</v>
      </c>
      <c r="D46" s="12" t="s">
        <v>345</v>
      </c>
      <c r="E46" s="12" t="s">
        <v>206</v>
      </c>
      <c r="F46" s="12" t="s">
        <v>207</v>
      </c>
      <c r="G46" s="12" t="s">
        <v>346</v>
      </c>
      <c r="H46" s="12" t="s">
        <v>347</v>
      </c>
      <c r="I46" s="12" t="s">
        <v>348</v>
      </c>
      <c r="J46" s="7"/>
      <c r="K46" s="7"/>
      <c r="L46" s="7" t="s">
        <v>339</v>
      </c>
      <c r="M46" s="7" t="s">
        <v>55</v>
      </c>
      <c r="N46" s="7"/>
    </row>
    <row r="47" customFormat="false" ht="23.25" hidden="false" customHeight="true" outlineLevel="0" collapsed="false">
      <c r="A47" s="12" t="s">
        <v>68</v>
      </c>
      <c r="B47" s="12" t="s">
        <v>335</v>
      </c>
      <c r="C47" s="12" t="s">
        <v>232</v>
      </c>
      <c r="D47" s="12" t="s">
        <v>349</v>
      </c>
      <c r="E47" s="12" t="s">
        <v>206</v>
      </c>
      <c r="F47" s="12" t="s">
        <v>234</v>
      </c>
      <c r="G47" s="12" t="s">
        <v>350</v>
      </c>
      <c r="H47" s="12" t="s">
        <v>351</v>
      </c>
      <c r="I47" s="12" t="s">
        <v>237</v>
      </c>
      <c r="J47" s="7"/>
      <c r="K47" s="7"/>
      <c r="L47" s="7" t="s">
        <v>352</v>
      </c>
      <c r="M47" s="7" t="s">
        <v>55</v>
      </c>
      <c r="N47" s="7" t="s">
        <v>353</v>
      </c>
    </row>
    <row r="48" customFormat="false" ht="23.25" hidden="false" customHeight="true" outlineLevel="0" collapsed="false">
      <c r="A48" s="12" t="s">
        <v>68</v>
      </c>
      <c r="B48" s="12" t="s">
        <v>335</v>
      </c>
      <c r="C48" s="12" t="s">
        <v>354</v>
      </c>
      <c r="D48" s="12" t="s">
        <v>355</v>
      </c>
      <c r="E48" s="12" t="s">
        <v>206</v>
      </c>
      <c r="F48" s="12" t="s">
        <v>234</v>
      </c>
      <c r="G48" s="12" t="s">
        <v>350</v>
      </c>
      <c r="H48" s="12" t="s">
        <v>351</v>
      </c>
      <c r="I48" s="12" t="s">
        <v>237</v>
      </c>
      <c r="J48" s="7"/>
      <c r="K48" s="7"/>
      <c r="L48" s="7" t="s">
        <v>356</v>
      </c>
      <c r="M48" s="7" t="s">
        <v>55</v>
      </c>
      <c r="N48" s="7" t="s">
        <v>357</v>
      </c>
    </row>
    <row r="49" customFormat="false" ht="23.25" hidden="false" customHeight="true" outlineLevel="0" collapsed="false">
      <c r="A49" s="12" t="s">
        <v>68</v>
      </c>
      <c r="B49" s="12" t="s">
        <v>335</v>
      </c>
      <c r="C49" s="12" t="s">
        <v>358</v>
      </c>
      <c r="D49" s="12" t="s">
        <v>359</v>
      </c>
      <c r="E49" s="12" t="s">
        <v>206</v>
      </c>
      <c r="F49" s="12" t="s">
        <v>234</v>
      </c>
      <c r="G49" s="12" t="s">
        <v>350</v>
      </c>
      <c r="H49" s="12" t="s">
        <v>351</v>
      </c>
      <c r="I49" s="12" t="s">
        <v>237</v>
      </c>
      <c r="J49" s="7"/>
      <c r="K49" s="7"/>
      <c r="L49" s="7" t="s">
        <v>360</v>
      </c>
      <c r="M49" s="7" t="s">
        <v>55</v>
      </c>
      <c r="N49" s="7" t="s">
        <v>357</v>
      </c>
    </row>
    <row r="50" customFormat="false" ht="23.25" hidden="false" customHeight="true" outlineLevel="0" collapsed="false">
      <c r="A50" s="13" t="s">
        <v>69</v>
      </c>
      <c r="B50" s="13" t="s">
        <v>335</v>
      </c>
      <c r="C50" s="13" t="s">
        <v>149</v>
      </c>
      <c r="D50" s="13" t="s">
        <v>361</v>
      </c>
      <c r="E50" s="13" t="s">
        <v>242</v>
      </c>
      <c r="F50" s="13" t="s">
        <v>234</v>
      </c>
      <c r="G50" s="13" t="s">
        <v>362</v>
      </c>
      <c r="H50" s="13" t="s">
        <v>363</v>
      </c>
      <c r="I50" s="13" t="s">
        <v>317</v>
      </c>
      <c r="J50" s="7"/>
      <c r="K50" s="7"/>
      <c r="L50" s="7"/>
      <c r="M50" s="7" t="s">
        <v>55</v>
      </c>
      <c r="N50" s="7"/>
    </row>
    <row r="51" customFormat="false" ht="34.5" hidden="false" customHeight="true" outlineLevel="0" collapsed="false">
      <c r="A51" s="12" t="s">
        <v>68</v>
      </c>
      <c r="B51" s="12" t="s">
        <v>364</v>
      </c>
      <c r="C51" s="12" t="s">
        <v>251</v>
      </c>
      <c r="D51" s="12" t="s">
        <v>365</v>
      </c>
      <c r="E51" s="12"/>
      <c r="F51" s="12" t="s">
        <v>253</v>
      </c>
      <c r="G51" s="12" t="s">
        <v>254</v>
      </c>
      <c r="H51" s="12" t="s">
        <v>255</v>
      </c>
      <c r="I51" s="12" t="s">
        <v>256</v>
      </c>
      <c r="J51" s="7"/>
      <c r="K51" s="7"/>
      <c r="L51" s="7" t="s">
        <v>339</v>
      </c>
      <c r="M51" s="7" t="s">
        <v>55</v>
      </c>
      <c r="N51" s="7"/>
    </row>
    <row r="52" customFormat="false" ht="34.5" hidden="false" customHeight="true" outlineLevel="0" collapsed="false">
      <c r="A52" s="12" t="s">
        <v>68</v>
      </c>
      <c r="B52" s="12" t="s">
        <v>364</v>
      </c>
      <c r="C52" s="12" t="s">
        <v>258</v>
      </c>
      <c r="D52" s="12" t="s">
        <v>366</v>
      </c>
      <c r="E52" s="12"/>
      <c r="F52" s="12" t="s">
        <v>253</v>
      </c>
      <c r="G52" s="12" t="s">
        <v>260</v>
      </c>
      <c r="H52" s="12" t="s">
        <v>261</v>
      </c>
      <c r="I52" s="12" t="s">
        <v>256</v>
      </c>
      <c r="J52" s="7"/>
      <c r="K52" s="7"/>
      <c r="L52" s="7" t="s">
        <v>339</v>
      </c>
      <c r="M52" s="7" t="s">
        <v>55</v>
      </c>
      <c r="N52" s="7"/>
    </row>
    <row r="53" customFormat="false" ht="34.5" hidden="false" customHeight="true" outlineLevel="0" collapsed="false">
      <c r="A53" s="12" t="s">
        <v>68</v>
      </c>
      <c r="B53" s="12" t="s">
        <v>364</v>
      </c>
      <c r="C53" s="12" t="s">
        <v>262</v>
      </c>
      <c r="D53" s="12" t="s">
        <v>367</v>
      </c>
      <c r="E53" s="12"/>
      <c r="F53" s="12" t="s">
        <v>253</v>
      </c>
      <c r="G53" s="12" t="s">
        <v>264</v>
      </c>
      <c r="H53" s="12" t="s">
        <v>265</v>
      </c>
      <c r="I53" s="12" t="s">
        <v>256</v>
      </c>
      <c r="J53" s="7"/>
      <c r="K53" s="7"/>
      <c r="L53" s="7" t="s">
        <v>339</v>
      </c>
      <c r="M53" s="7" t="s">
        <v>55</v>
      </c>
      <c r="N53" s="7"/>
    </row>
    <row r="54" customFormat="false" ht="34.5" hidden="false" customHeight="true" outlineLevel="0" collapsed="false">
      <c r="A54" s="12" t="s">
        <v>68</v>
      </c>
      <c r="B54" s="12" t="s">
        <v>364</v>
      </c>
      <c r="C54" s="12" t="s">
        <v>266</v>
      </c>
      <c r="D54" s="12" t="s">
        <v>368</v>
      </c>
      <c r="E54" s="12"/>
      <c r="F54" s="12" t="s">
        <v>253</v>
      </c>
      <c r="G54" s="12" t="s">
        <v>268</v>
      </c>
      <c r="H54" s="12" t="s">
        <v>269</v>
      </c>
      <c r="I54" s="12" t="s">
        <v>256</v>
      </c>
      <c r="J54" s="7"/>
      <c r="K54" s="7"/>
      <c r="L54" s="7" t="s">
        <v>339</v>
      </c>
      <c r="M54" s="7" t="s">
        <v>55</v>
      </c>
      <c r="N54" s="7"/>
    </row>
    <row r="55" customFormat="false" ht="34.5" hidden="false" customHeight="true" outlineLevel="0" collapsed="false">
      <c r="A55" s="12" t="s">
        <v>68</v>
      </c>
      <c r="B55" s="12" t="s">
        <v>364</v>
      </c>
      <c r="C55" s="12" t="s">
        <v>270</v>
      </c>
      <c r="D55" s="12" t="s">
        <v>369</v>
      </c>
      <c r="E55" s="12"/>
      <c r="F55" s="12" t="s">
        <v>253</v>
      </c>
      <c r="G55" s="12" t="s">
        <v>272</v>
      </c>
      <c r="H55" s="12" t="s">
        <v>273</v>
      </c>
      <c r="I55" s="12" t="s">
        <v>256</v>
      </c>
      <c r="J55" s="7"/>
      <c r="K55" s="7"/>
      <c r="L55" s="7" t="s">
        <v>339</v>
      </c>
      <c r="M55" s="7" t="s">
        <v>55</v>
      </c>
      <c r="N55" s="7"/>
    </row>
    <row r="56" customFormat="false" ht="34.5" hidden="false" customHeight="true" outlineLevel="0" collapsed="false">
      <c r="A56" s="12" t="s">
        <v>68</v>
      </c>
      <c r="B56" s="12" t="s">
        <v>364</v>
      </c>
      <c r="C56" s="12" t="s">
        <v>274</v>
      </c>
      <c r="D56" s="12" t="s">
        <v>370</v>
      </c>
      <c r="E56" s="12"/>
      <c r="F56" s="12" t="s">
        <v>253</v>
      </c>
      <c r="G56" s="12" t="s">
        <v>272</v>
      </c>
      <c r="H56" s="12" t="s">
        <v>276</v>
      </c>
      <c r="I56" s="12" t="s">
        <v>256</v>
      </c>
      <c r="J56" s="7"/>
      <c r="K56" s="7"/>
      <c r="L56" s="7" t="s">
        <v>339</v>
      </c>
      <c r="M56" s="7" t="s">
        <v>55</v>
      </c>
      <c r="N56" s="7"/>
    </row>
    <row r="57" customFormat="false" ht="34.5" hidden="false" customHeight="true" outlineLevel="0" collapsed="false">
      <c r="A57" s="12" t="s">
        <v>68</v>
      </c>
      <c r="B57" s="12" t="s">
        <v>364</v>
      </c>
      <c r="C57" s="12" t="s">
        <v>277</v>
      </c>
      <c r="D57" s="12" t="s">
        <v>371</v>
      </c>
      <c r="E57" s="12"/>
      <c r="F57" s="12" t="s">
        <v>253</v>
      </c>
      <c r="G57" s="12" t="s">
        <v>279</v>
      </c>
      <c r="H57" s="12" t="s">
        <v>280</v>
      </c>
      <c r="I57" s="12" t="s">
        <v>256</v>
      </c>
      <c r="J57" s="7"/>
      <c r="K57" s="7"/>
      <c r="L57" s="7" t="s">
        <v>339</v>
      </c>
      <c r="M57" s="7" t="s">
        <v>55</v>
      </c>
      <c r="N57" s="7"/>
    </row>
    <row r="58" customFormat="false" ht="34.5" hidden="false" customHeight="true" outlineLevel="0" collapsed="false">
      <c r="A58" s="12" t="s">
        <v>68</v>
      </c>
      <c r="B58" s="12" t="s">
        <v>364</v>
      </c>
      <c r="C58" s="12" t="s">
        <v>281</v>
      </c>
      <c r="D58" s="12" t="s">
        <v>372</v>
      </c>
      <c r="E58" s="12" t="s">
        <v>206</v>
      </c>
      <c r="F58" s="12" t="s">
        <v>253</v>
      </c>
      <c r="G58" s="12" t="s">
        <v>272</v>
      </c>
      <c r="H58" s="12" t="s">
        <v>283</v>
      </c>
      <c r="I58" s="12" t="s">
        <v>256</v>
      </c>
      <c r="J58" s="7"/>
      <c r="K58" s="7"/>
      <c r="L58" s="7" t="s">
        <v>339</v>
      </c>
      <c r="M58" s="7" t="s">
        <v>55</v>
      </c>
      <c r="N58" s="7"/>
    </row>
    <row r="59" customFormat="false" ht="34.5" hidden="false" customHeight="true" outlineLevel="0" collapsed="false">
      <c r="A59" s="12" t="s">
        <v>68</v>
      </c>
      <c r="B59" s="12" t="s">
        <v>364</v>
      </c>
      <c r="C59" s="12" t="s">
        <v>284</v>
      </c>
      <c r="D59" s="12" t="s">
        <v>373</v>
      </c>
      <c r="E59" s="12"/>
      <c r="F59" s="12" t="s">
        <v>253</v>
      </c>
      <c r="G59" s="12" t="s">
        <v>286</v>
      </c>
      <c r="H59" s="12" t="s">
        <v>287</v>
      </c>
      <c r="I59" s="12" t="s">
        <v>256</v>
      </c>
      <c r="J59" s="7"/>
      <c r="K59" s="7"/>
      <c r="L59" s="7" t="s">
        <v>339</v>
      </c>
      <c r="M59" s="7" t="s">
        <v>55</v>
      </c>
      <c r="N59" s="7"/>
    </row>
    <row r="60" customFormat="false" ht="34.5" hidden="false" customHeight="true" outlineLevel="0" collapsed="false">
      <c r="A60" s="12" t="s">
        <v>68</v>
      </c>
      <c r="B60" s="12" t="s">
        <v>364</v>
      </c>
      <c r="C60" s="12" t="s">
        <v>288</v>
      </c>
      <c r="D60" s="12" t="s">
        <v>374</v>
      </c>
      <c r="E60" s="12"/>
      <c r="F60" s="12" t="s">
        <v>253</v>
      </c>
      <c r="G60" s="12" t="s">
        <v>290</v>
      </c>
      <c r="H60" s="12" t="s">
        <v>291</v>
      </c>
      <c r="I60" s="12" t="s">
        <v>256</v>
      </c>
      <c r="J60" s="7"/>
      <c r="K60" s="7"/>
      <c r="L60" s="7" t="s">
        <v>339</v>
      </c>
      <c r="M60" s="7" t="s">
        <v>55</v>
      </c>
      <c r="N60" s="7"/>
    </row>
    <row r="61" customFormat="false" ht="34.5" hidden="false" customHeight="true" outlineLevel="0" collapsed="false">
      <c r="A61" s="12" t="s">
        <v>68</v>
      </c>
      <c r="B61" s="12" t="s">
        <v>364</v>
      </c>
      <c r="C61" s="12" t="s">
        <v>292</v>
      </c>
      <c r="D61" s="12" t="s">
        <v>375</v>
      </c>
      <c r="E61" s="12"/>
      <c r="F61" s="12" t="s">
        <v>253</v>
      </c>
      <c r="G61" s="12" t="s">
        <v>294</v>
      </c>
      <c r="H61" s="12" t="s">
        <v>295</v>
      </c>
      <c r="I61" s="12" t="s">
        <v>256</v>
      </c>
      <c r="J61" s="7"/>
      <c r="K61" s="7"/>
      <c r="L61" s="7" t="s">
        <v>339</v>
      </c>
      <c r="M61" s="7" t="s">
        <v>55</v>
      </c>
      <c r="N61" s="7"/>
    </row>
    <row r="62" customFormat="false" ht="34.5" hidden="false" customHeight="true" outlineLevel="0" collapsed="false">
      <c r="A62" s="12" t="s">
        <v>68</v>
      </c>
      <c r="B62" s="12" t="s">
        <v>376</v>
      </c>
      <c r="C62" s="12" t="s">
        <v>204</v>
      </c>
      <c r="D62" s="12" t="s">
        <v>377</v>
      </c>
      <c r="E62" s="12" t="s">
        <v>206</v>
      </c>
      <c r="F62" s="12" t="s">
        <v>207</v>
      </c>
      <c r="G62" s="12" t="s">
        <v>337</v>
      </c>
      <c r="H62" s="12" t="s">
        <v>338</v>
      </c>
      <c r="I62" s="12" t="s">
        <v>210</v>
      </c>
      <c r="J62" s="7"/>
      <c r="K62" s="7"/>
      <c r="L62" s="7" t="s">
        <v>378</v>
      </c>
      <c r="M62" s="7" t="s">
        <v>55</v>
      </c>
      <c r="N62" s="7"/>
    </row>
    <row r="63" customFormat="false" ht="34.5" hidden="false" customHeight="true" outlineLevel="0" collapsed="false">
      <c r="A63" s="12" t="s">
        <v>68</v>
      </c>
      <c r="B63" s="12" t="s">
        <v>376</v>
      </c>
      <c r="C63" s="12" t="s">
        <v>215</v>
      </c>
      <c r="D63" s="12" t="s">
        <v>379</v>
      </c>
      <c r="E63" s="12" t="s">
        <v>206</v>
      </c>
      <c r="F63" s="12" t="s">
        <v>207</v>
      </c>
      <c r="G63" s="12" t="s">
        <v>337</v>
      </c>
      <c r="H63" s="12" t="s">
        <v>338</v>
      </c>
      <c r="I63" s="12" t="s">
        <v>210</v>
      </c>
      <c r="J63" s="7"/>
      <c r="K63" s="7"/>
      <c r="L63" s="7" t="s">
        <v>378</v>
      </c>
      <c r="M63" s="7" t="s">
        <v>55</v>
      </c>
      <c r="N63" s="7"/>
    </row>
    <row r="64" customFormat="false" ht="34.5" hidden="false" customHeight="true" outlineLevel="0" collapsed="false">
      <c r="A64" s="12" t="s">
        <v>68</v>
      </c>
      <c r="B64" s="12" t="s">
        <v>376</v>
      </c>
      <c r="C64" s="12" t="s">
        <v>219</v>
      </c>
      <c r="D64" s="12" t="s">
        <v>380</v>
      </c>
      <c r="E64" s="12" t="s">
        <v>206</v>
      </c>
      <c r="F64" s="12" t="s">
        <v>207</v>
      </c>
      <c r="G64" s="12" t="s">
        <v>337</v>
      </c>
      <c r="H64" s="12" t="s">
        <v>338</v>
      </c>
      <c r="I64" s="12" t="s">
        <v>210</v>
      </c>
      <c r="J64" s="7"/>
      <c r="K64" s="7"/>
      <c r="L64" s="7" t="s">
        <v>378</v>
      </c>
      <c r="M64" s="7" t="s">
        <v>55</v>
      </c>
      <c r="N64" s="7"/>
    </row>
    <row r="65" customFormat="false" ht="34.5" hidden="false" customHeight="true" outlineLevel="0" collapsed="false">
      <c r="A65" s="12" t="s">
        <v>68</v>
      </c>
      <c r="B65" s="12" t="s">
        <v>376</v>
      </c>
      <c r="C65" s="12" t="s">
        <v>223</v>
      </c>
      <c r="D65" s="12" t="s">
        <v>381</v>
      </c>
      <c r="E65" s="12" t="s">
        <v>206</v>
      </c>
      <c r="F65" s="12" t="s">
        <v>207</v>
      </c>
      <c r="G65" s="12" t="s">
        <v>337</v>
      </c>
      <c r="H65" s="12" t="s">
        <v>338</v>
      </c>
      <c r="I65" s="12" t="s">
        <v>210</v>
      </c>
      <c r="J65" s="7"/>
      <c r="K65" s="7"/>
      <c r="L65" s="7" t="s">
        <v>378</v>
      </c>
      <c r="M65" s="7" t="s">
        <v>55</v>
      </c>
      <c r="N65" s="7"/>
    </row>
    <row r="66" customFormat="false" ht="34.5" hidden="false" customHeight="true" outlineLevel="0" collapsed="false">
      <c r="A66" s="12" t="s">
        <v>68</v>
      </c>
      <c r="B66" s="12" t="s">
        <v>376</v>
      </c>
      <c r="C66" s="12" t="s">
        <v>227</v>
      </c>
      <c r="D66" s="12" t="s">
        <v>382</v>
      </c>
      <c r="E66" s="12" t="s">
        <v>206</v>
      </c>
      <c r="F66" s="12" t="s">
        <v>207</v>
      </c>
      <c r="G66" s="12" t="s">
        <v>337</v>
      </c>
      <c r="H66" s="12" t="s">
        <v>338</v>
      </c>
      <c r="I66" s="12" t="s">
        <v>210</v>
      </c>
      <c r="J66" s="7"/>
      <c r="K66" s="7"/>
      <c r="L66" s="7" t="s">
        <v>378</v>
      </c>
      <c r="M66" s="7" t="s">
        <v>55</v>
      </c>
      <c r="N66" s="7"/>
    </row>
    <row r="67" customFormat="false" ht="23.25" hidden="false" customHeight="true" outlineLevel="0" collapsed="false">
      <c r="A67" s="12" t="s">
        <v>68</v>
      </c>
      <c r="B67" s="12" t="s">
        <v>376</v>
      </c>
      <c r="C67" s="12" t="s">
        <v>383</v>
      </c>
      <c r="D67" s="12" t="s">
        <v>384</v>
      </c>
      <c r="E67" s="12" t="s">
        <v>206</v>
      </c>
      <c r="F67" s="12" t="s">
        <v>234</v>
      </c>
      <c r="G67" s="12" t="s">
        <v>350</v>
      </c>
      <c r="H67" s="12" t="s">
        <v>351</v>
      </c>
      <c r="I67" s="12" t="s">
        <v>237</v>
      </c>
      <c r="J67" s="7"/>
      <c r="K67" s="7"/>
      <c r="L67" s="7" t="s">
        <v>385</v>
      </c>
      <c r="M67" s="7" t="s">
        <v>55</v>
      </c>
      <c r="N67" s="7" t="s">
        <v>386</v>
      </c>
    </row>
    <row r="68" customFormat="false" ht="34.5" hidden="false" customHeight="true" outlineLevel="0" collapsed="false">
      <c r="A68" s="12" t="s">
        <v>68</v>
      </c>
      <c r="B68" s="12" t="s">
        <v>376</v>
      </c>
      <c r="C68" s="12" t="s">
        <v>387</v>
      </c>
      <c r="D68" s="12" t="s">
        <v>388</v>
      </c>
      <c r="E68" s="12" t="s">
        <v>206</v>
      </c>
      <c r="F68" s="12" t="s">
        <v>234</v>
      </c>
      <c r="G68" s="12" t="s">
        <v>389</v>
      </c>
      <c r="H68" s="12" t="s">
        <v>390</v>
      </c>
      <c r="I68" s="12" t="s">
        <v>391</v>
      </c>
      <c r="J68" s="7"/>
      <c r="K68" s="7"/>
      <c r="L68" s="7" t="s">
        <v>378</v>
      </c>
      <c r="M68" s="7" t="s">
        <v>55</v>
      </c>
      <c r="N68" s="7"/>
    </row>
    <row r="69" customFormat="false" ht="23.25" hidden="false" customHeight="true" outlineLevel="0" collapsed="false">
      <c r="A69" s="13" t="s">
        <v>69</v>
      </c>
      <c r="B69" s="13" t="s">
        <v>376</v>
      </c>
      <c r="C69" s="13" t="s">
        <v>149</v>
      </c>
      <c r="D69" s="13" t="s">
        <v>392</v>
      </c>
      <c r="E69" s="13" t="s">
        <v>242</v>
      </c>
      <c r="F69" s="13" t="s">
        <v>234</v>
      </c>
      <c r="G69" s="13" t="s">
        <v>362</v>
      </c>
      <c r="H69" s="13" t="s">
        <v>363</v>
      </c>
      <c r="I69" s="13" t="s">
        <v>317</v>
      </c>
      <c r="J69" s="7"/>
      <c r="K69" s="7"/>
      <c r="L69" s="7"/>
      <c r="M69" s="7" t="s">
        <v>55</v>
      </c>
      <c r="N69" s="7"/>
    </row>
    <row r="70" customFormat="false" ht="34.5" hidden="false" customHeight="true" outlineLevel="0" collapsed="false">
      <c r="A70" s="12" t="s">
        <v>68</v>
      </c>
      <c r="B70" s="12" t="s">
        <v>393</v>
      </c>
      <c r="C70" s="12" t="s">
        <v>251</v>
      </c>
      <c r="D70" s="12" t="s">
        <v>394</v>
      </c>
      <c r="E70" s="12"/>
      <c r="F70" s="12" t="s">
        <v>253</v>
      </c>
      <c r="G70" s="12" t="s">
        <v>254</v>
      </c>
      <c r="H70" s="12" t="s">
        <v>255</v>
      </c>
      <c r="I70" s="12" t="s">
        <v>256</v>
      </c>
      <c r="J70" s="7"/>
      <c r="K70" s="7"/>
      <c r="L70" s="7" t="s">
        <v>378</v>
      </c>
      <c r="M70" s="7" t="s">
        <v>55</v>
      </c>
      <c r="N70" s="7"/>
    </row>
    <row r="71" customFormat="false" ht="34.5" hidden="false" customHeight="true" outlineLevel="0" collapsed="false">
      <c r="A71" s="12" t="s">
        <v>68</v>
      </c>
      <c r="B71" s="12" t="s">
        <v>393</v>
      </c>
      <c r="C71" s="12" t="s">
        <v>258</v>
      </c>
      <c r="D71" s="12" t="s">
        <v>395</v>
      </c>
      <c r="E71" s="12"/>
      <c r="F71" s="12" t="s">
        <v>253</v>
      </c>
      <c r="G71" s="12" t="s">
        <v>260</v>
      </c>
      <c r="H71" s="12" t="s">
        <v>261</v>
      </c>
      <c r="I71" s="12" t="s">
        <v>256</v>
      </c>
      <c r="J71" s="7"/>
      <c r="K71" s="7"/>
      <c r="L71" s="7" t="s">
        <v>378</v>
      </c>
      <c r="M71" s="7" t="s">
        <v>55</v>
      </c>
      <c r="N71" s="7"/>
    </row>
    <row r="72" customFormat="false" ht="34.5" hidden="false" customHeight="true" outlineLevel="0" collapsed="false">
      <c r="A72" s="12" t="s">
        <v>68</v>
      </c>
      <c r="B72" s="12" t="s">
        <v>393</v>
      </c>
      <c r="C72" s="12" t="s">
        <v>262</v>
      </c>
      <c r="D72" s="12" t="s">
        <v>396</v>
      </c>
      <c r="E72" s="12"/>
      <c r="F72" s="12" t="s">
        <v>253</v>
      </c>
      <c r="G72" s="12" t="s">
        <v>264</v>
      </c>
      <c r="H72" s="12" t="s">
        <v>265</v>
      </c>
      <c r="I72" s="12" t="s">
        <v>256</v>
      </c>
      <c r="J72" s="7"/>
      <c r="K72" s="7"/>
      <c r="L72" s="7" t="s">
        <v>378</v>
      </c>
      <c r="M72" s="7" t="s">
        <v>55</v>
      </c>
      <c r="N72" s="7"/>
    </row>
    <row r="73" customFormat="false" ht="34.5" hidden="false" customHeight="true" outlineLevel="0" collapsed="false">
      <c r="A73" s="12" t="s">
        <v>68</v>
      </c>
      <c r="B73" s="12" t="s">
        <v>393</v>
      </c>
      <c r="C73" s="12" t="s">
        <v>266</v>
      </c>
      <c r="D73" s="12" t="s">
        <v>397</v>
      </c>
      <c r="E73" s="12"/>
      <c r="F73" s="12" t="s">
        <v>253</v>
      </c>
      <c r="G73" s="12" t="s">
        <v>268</v>
      </c>
      <c r="H73" s="12" t="s">
        <v>269</v>
      </c>
      <c r="I73" s="12" t="s">
        <v>256</v>
      </c>
      <c r="J73" s="7"/>
      <c r="K73" s="7"/>
      <c r="L73" s="7" t="s">
        <v>378</v>
      </c>
      <c r="M73" s="7" t="s">
        <v>55</v>
      </c>
      <c r="N73" s="7"/>
    </row>
    <row r="74" customFormat="false" ht="34.5" hidden="false" customHeight="true" outlineLevel="0" collapsed="false">
      <c r="A74" s="12" t="s">
        <v>68</v>
      </c>
      <c r="B74" s="12" t="s">
        <v>393</v>
      </c>
      <c r="C74" s="12" t="s">
        <v>270</v>
      </c>
      <c r="D74" s="12" t="s">
        <v>398</v>
      </c>
      <c r="E74" s="12"/>
      <c r="F74" s="12" t="s">
        <v>253</v>
      </c>
      <c r="G74" s="12" t="s">
        <v>272</v>
      </c>
      <c r="H74" s="12" t="s">
        <v>273</v>
      </c>
      <c r="I74" s="12" t="s">
        <v>256</v>
      </c>
      <c r="J74" s="7"/>
      <c r="K74" s="7"/>
      <c r="L74" s="7" t="s">
        <v>378</v>
      </c>
      <c r="M74" s="7" t="s">
        <v>55</v>
      </c>
      <c r="N74" s="7"/>
    </row>
    <row r="75" customFormat="false" ht="34.5" hidden="false" customHeight="true" outlineLevel="0" collapsed="false">
      <c r="A75" s="12" t="s">
        <v>68</v>
      </c>
      <c r="B75" s="12" t="s">
        <v>393</v>
      </c>
      <c r="C75" s="12" t="s">
        <v>274</v>
      </c>
      <c r="D75" s="12" t="s">
        <v>399</v>
      </c>
      <c r="E75" s="12"/>
      <c r="F75" s="12" t="s">
        <v>253</v>
      </c>
      <c r="G75" s="12" t="s">
        <v>272</v>
      </c>
      <c r="H75" s="12" t="s">
        <v>276</v>
      </c>
      <c r="I75" s="12" t="s">
        <v>256</v>
      </c>
      <c r="J75" s="7"/>
      <c r="K75" s="7"/>
      <c r="L75" s="7" t="s">
        <v>378</v>
      </c>
      <c r="M75" s="7" t="s">
        <v>55</v>
      </c>
      <c r="N75" s="7"/>
    </row>
    <row r="76" customFormat="false" ht="34.5" hidden="false" customHeight="true" outlineLevel="0" collapsed="false">
      <c r="A76" s="12" t="s">
        <v>68</v>
      </c>
      <c r="B76" s="12" t="s">
        <v>393</v>
      </c>
      <c r="C76" s="12" t="s">
        <v>277</v>
      </c>
      <c r="D76" s="12" t="s">
        <v>400</v>
      </c>
      <c r="E76" s="12"/>
      <c r="F76" s="12" t="s">
        <v>253</v>
      </c>
      <c r="G76" s="12" t="s">
        <v>279</v>
      </c>
      <c r="H76" s="12" t="s">
        <v>280</v>
      </c>
      <c r="I76" s="12" t="s">
        <v>256</v>
      </c>
      <c r="J76" s="7"/>
      <c r="K76" s="7"/>
      <c r="L76" s="7" t="s">
        <v>378</v>
      </c>
      <c r="M76" s="7" t="s">
        <v>55</v>
      </c>
      <c r="N76" s="7"/>
    </row>
    <row r="77" customFormat="false" ht="34.5" hidden="false" customHeight="true" outlineLevel="0" collapsed="false">
      <c r="A77" s="12" t="s">
        <v>68</v>
      </c>
      <c r="B77" s="12" t="s">
        <v>393</v>
      </c>
      <c r="C77" s="12" t="s">
        <v>281</v>
      </c>
      <c r="D77" s="12" t="s">
        <v>401</v>
      </c>
      <c r="E77" s="12" t="s">
        <v>206</v>
      </c>
      <c r="F77" s="12" t="s">
        <v>253</v>
      </c>
      <c r="G77" s="12" t="s">
        <v>272</v>
      </c>
      <c r="H77" s="12" t="s">
        <v>283</v>
      </c>
      <c r="I77" s="12" t="s">
        <v>256</v>
      </c>
      <c r="J77" s="7"/>
      <c r="K77" s="7"/>
      <c r="L77" s="7" t="s">
        <v>378</v>
      </c>
      <c r="M77" s="7" t="s">
        <v>55</v>
      </c>
      <c r="N77" s="7"/>
    </row>
    <row r="78" customFormat="false" ht="34.5" hidden="false" customHeight="true" outlineLevel="0" collapsed="false">
      <c r="A78" s="12" t="s">
        <v>68</v>
      </c>
      <c r="B78" s="12" t="s">
        <v>393</v>
      </c>
      <c r="C78" s="12" t="s">
        <v>284</v>
      </c>
      <c r="D78" s="12" t="s">
        <v>402</v>
      </c>
      <c r="E78" s="12"/>
      <c r="F78" s="12" t="s">
        <v>253</v>
      </c>
      <c r="G78" s="12" t="s">
        <v>286</v>
      </c>
      <c r="H78" s="12" t="s">
        <v>287</v>
      </c>
      <c r="I78" s="12" t="s">
        <v>256</v>
      </c>
      <c r="J78" s="7"/>
      <c r="K78" s="7"/>
      <c r="L78" s="7" t="s">
        <v>378</v>
      </c>
      <c r="M78" s="7" t="s">
        <v>55</v>
      </c>
      <c r="N78" s="7"/>
    </row>
    <row r="79" customFormat="false" ht="34.5" hidden="false" customHeight="true" outlineLevel="0" collapsed="false">
      <c r="A79" s="12" t="s">
        <v>68</v>
      </c>
      <c r="B79" s="12" t="s">
        <v>393</v>
      </c>
      <c r="C79" s="12" t="s">
        <v>288</v>
      </c>
      <c r="D79" s="12" t="s">
        <v>403</v>
      </c>
      <c r="E79" s="12"/>
      <c r="F79" s="12" t="s">
        <v>253</v>
      </c>
      <c r="G79" s="12" t="s">
        <v>290</v>
      </c>
      <c r="H79" s="12" t="s">
        <v>291</v>
      </c>
      <c r="I79" s="12" t="s">
        <v>256</v>
      </c>
      <c r="J79" s="7"/>
      <c r="K79" s="7"/>
      <c r="L79" s="7" t="s">
        <v>378</v>
      </c>
      <c r="M79" s="7" t="s">
        <v>55</v>
      </c>
      <c r="N79" s="7"/>
    </row>
    <row r="80" customFormat="false" ht="34.5" hidden="false" customHeight="true" outlineLevel="0" collapsed="false">
      <c r="A80" s="12" t="s">
        <v>68</v>
      </c>
      <c r="B80" s="12" t="s">
        <v>393</v>
      </c>
      <c r="C80" s="12" t="s">
        <v>292</v>
      </c>
      <c r="D80" s="12" t="s">
        <v>404</v>
      </c>
      <c r="E80" s="12"/>
      <c r="F80" s="12" t="s">
        <v>253</v>
      </c>
      <c r="G80" s="12" t="s">
        <v>294</v>
      </c>
      <c r="H80" s="12" t="s">
        <v>295</v>
      </c>
      <c r="I80" s="12" t="s">
        <v>256</v>
      </c>
      <c r="J80" s="7"/>
      <c r="K80" s="7"/>
      <c r="L80" s="7" t="s">
        <v>378</v>
      </c>
      <c r="M80" s="7" t="s">
        <v>55</v>
      </c>
      <c r="N80" s="7"/>
    </row>
    <row r="81" customFormat="false" ht="34.5" hidden="false" customHeight="true" outlineLevel="0" collapsed="false">
      <c r="A81" s="12" t="s">
        <v>68</v>
      </c>
      <c r="B81" s="12" t="s">
        <v>405</v>
      </c>
      <c r="C81" s="12" t="s">
        <v>406</v>
      </c>
      <c r="D81" s="12" t="s">
        <v>407</v>
      </c>
      <c r="E81" s="12" t="s">
        <v>206</v>
      </c>
      <c r="F81" s="12" t="s">
        <v>207</v>
      </c>
      <c r="G81" s="12" t="s">
        <v>408</v>
      </c>
      <c r="H81" s="12" t="s">
        <v>409</v>
      </c>
      <c r="I81" s="12" t="s">
        <v>410</v>
      </c>
      <c r="J81" s="7"/>
      <c r="K81" s="7"/>
      <c r="L81" s="7" t="s">
        <v>257</v>
      </c>
      <c r="M81" s="7" t="s">
        <v>55</v>
      </c>
      <c r="N81" s="7"/>
    </row>
    <row r="82" customFormat="false" ht="34.5" hidden="false" customHeight="true" outlineLevel="0" collapsed="false">
      <c r="A82" s="12" t="s">
        <v>68</v>
      </c>
      <c r="B82" s="12" t="s">
        <v>405</v>
      </c>
      <c r="C82" s="12" t="s">
        <v>411</v>
      </c>
      <c r="D82" s="12" t="s">
        <v>412</v>
      </c>
      <c r="E82" s="12" t="s">
        <v>206</v>
      </c>
      <c r="F82" s="12" t="s">
        <v>207</v>
      </c>
      <c r="G82" s="12" t="s">
        <v>408</v>
      </c>
      <c r="H82" s="12" t="s">
        <v>409</v>
      </c>
      <c r="I82" s="12" t="s">
        <v>410</v>
      </c>
      <c r="J82" s="7"/>
      <c r="K82" s="7"/>
      <c r="L82" s="7" t="s">
        <v>413</v>
      </c>
      <c r="M82" s="7" t="s">
        <v>55</v>
      </c>
      <c r="N82" s="7"/>
    </row>
    <row r="83" customFormat="false" ht="34.5" hidden="false" customHeight="true" outlineLevel="0" collapsed="false">
      <c r="A83" s="12" t="s">
        <v>68</v>
      </c>
      <c r="B83" s="12" t="s">
        <v>405</v>
      </c>
      <c r="C83" s="12" t="s">
        <v>414</v>
      </c>
      <c r="D83" s="12" t="s">
        <v>415</v>
      </c>
      <c r="E83" s="12" t="s">
        <v>206</v>
      </c>
      <c r="F83" s="12" t="s">
        <v>207</v>
      </c>
      <c r="G83" s="12" t="s">
        <v>408</v>
      </c>
      <c r="H83" s="12" t="s">
        <v>409</v>
      </c>
      <c r="I83" s="12" t="s">
        <v>410</v>
      </c>
      <c r="J83" s="7"/>
      <c r="K83" s="7"/>
      <c r="L83" s="7" t="s">
        <v>324</v>
      </c>
      <c r="M83" s="7" t="s">
        <v>55</v>
      </c>
      <c r="N83" s="7"/>
    </row>
    <row r="84" customFormat="false" ht="34.5" hidden="false" customHeight="true" outlineLevel="0" collapsed="false">
      <c r="A84" s="12" t="s">
        <v>68</v>
      </c>
      <c r="B84" s="12" t="s">
        <v>405</v>
      </c>
      <c r="C84" s="12" t="s">
        <v>416</v>
      </c>
      <c r="D84" s="12" t="s">
        <v>417</v>
      </c>
      <c r="E84" s="12" t="s">
        <v>206</v>
      </c>
      <c r="F84" s="12" t="s">
        <v>207</v>
      </c>
      <c r="G84" s="12" t="s">
        <v>408</v>
      </c>
      <c r="H84" s="12" t="s">
        <v>409</v>
      </c>
      <c r="I84" s="12" t="s">
        <v>410</v>
      </c>
      <c r="J84" s="7"/>
      <c r="K84" s="7"/>
      <c r="L84" s="7" t="s">
        <v>339</v>
      </c>
      <c r="M84" s="7" t="s">
        <v>55</v>
      </c>
      <c r="N84" s="7"/>
    </row>
    <row r="85" customFormat="false" ht="34.5" hidden="false" customHeight="true" outlineLevel="0" collapsed="false">
      <c r="A85" s="12" t="s">
        <v>68</v>
      </c>
      <c r="B85" s="12" t="s">
        <v>405</v>
      </c>
      <c r="C85" s="12" t="s">
        <v>418</v>
      </c>
      <c r="D85" s="12" t="s">
        <v>419</v>
      </c>
      <c r="E85" s="12" t="s">
        <v>206</v>
      </c>
      <c r="F85" s="12" t="s">
        <v>207</v>
      </c>
      <c r="G85" s="12" t="s">
        <v>408</v>
      </c>
      <c r="H85" s="12" t="s">
        <v>409</v>
      </c>
      <c r="I85" s="12" t="s">
        <v>410</v>
      </c>
      <c r="J85" s="7"/>
      <c r="K85" s="7"/>
      <c r="L85" s="7" t="s">
        <v>378</v>
      </c>
      <c r="M85" s="7" t="s">
        <v>55</v>
      </c>
      <c r="N85" s="7"/>
    </row>
    <row r="86" customFormat="false" ht="34.5" hidden="false" customHeight="true" outlineLevel="0" collapsed="false">
      <c r="A86" s="12" t="s">
        <v>68</v>
      </c>
      <c r="B86" s="12" t="s">
        <v>420</v>
      </c>
      <c r="C86" s="12" t="s">
        <v>251</v>
      </c>
      <c r="D86" s="12" t="s">
        <v>421</v>
      </c>
      <c r="E86" s="12"/>
      <c r="F86" s="12" t="s">
        <v>253</v>
      </c>
      <c r="G86" s="12" t="s">
        <v>254</v>
      </c>
      <c r="H86" s="12" t="s">
        <v>255</v>
      </c>
      <c r="I86" s="12" t="s">
        <v>256</v>
      </c>
      <c r="J86" s="7"/>
      <c r="K86" s="7"/>
      <c r="L86" s="7" t="s">
        <v>422</v>
      </c>
      <c r="M86" s="7" t="s">
        <v>55</v>
      </c>
      <c r="N86" s="7" t="s">
        <v>423</v>
      </c>
    </row>
    <row r="87" customFormat="false" ht="34.5" hidden="false" customHeight="true" outlineLevel="0" collapsed="false">
      <c r="A87" s="12" t="s">
        <v>68</v>
      </c>
      <c r="B87" s="12" t="s">
        <v>420</v>
      </c>
      <c r="C87" s="12" t="s">
        <v>258</v>
      </c>
      <c r="D87" s="12" t="s">
        <v>424</v>
      </c>
      <c r="E87" s="12"/>
      <c r="F87" s="12" t="s">
        <v>253</v>
      </c>
      <c r="G87" s="12" t="s">
        <v>260</v>
      </c>
      <c r="H87" s="12" t="s">
        <v>261</v>
      </c>
      <c r="I87" s="12" t="s">
        <v>256</v>
      </c>
      <c r="J87" s="7"/>
      <c r="K87" s="7"/>
      <c r="L87" s="7" t="s">
        <v>422</v>
      </c>
      <c r="M87" s="7" t="s">
        <v>55</v>
      </c>
      <c r="N87" s="7" t="s">
        <v>423</v>
      </c>
    </row>
    <row r="88" customFormat="false" ht="34.5" hidden="false" customHeight="true" outlineLevel="0" collapsed="false">
      <c r="A88" s="12" t="s">
        <v>68</v>
      </c>
      <c r="B88" s="12" t="s">
        <v>420</v>
      </c>
      <c r="C88" s="12" t="s">
        <v>270</v>
      </c>
      <c r="D88" s="12" t="s">
        <v>425</v>
      </c>
      <c r="E88" s="12"/>
      <c r="F88" s="12" t="s">
        <v>253</v>
      </c>
      <c r="G88" s="12" t="s">
        <v>272</v>
      </c>
      <c r="H88" s="12" t="s">
        <v>273</v>
      </c>
      <c r="I88" s="12" t="s">
        <v>256</v>
      </c>
      <c r="J88" s="7"/>
      <c r="K88" s="7"/>
      <c r="L88" s="7" t="s">
        <v>422</v>
      </c>
      <c r="M88" s="7" t="s">
        <v>55</v>
      </c>
      <c r="N88" s="7" t="s">
        <v>423</v>
      </c>
    </row>
    <row r="89" customFormat="false" ht="34.5" hidden="false" customHeight="true" outlineLevel="0" collapsed="false">
      <c r="A89" s="12" t="s">
        <v>68</v>
      </c>
      <c r="B89" s="12" t="s">
        <v>420</v>
      </c>
      <c r="C89" s="12" t="s">
        <v>274</v>
      </c>
      <c r="D89" s="12" t="s">
        <v>426</v>
      </c>
      <c r="E89" s="12"/>
      <c r="F89" s="12" t="s">
        <v>253</v>
      </c>
      <c r="G89" s="12" t="s">
        <v>272</v>
      </c>
      <c r="H89" s="12" t="s">
        <v>276</v>
      </c>
      <c r="I89" s="12" t="s">
        <v>256</v>
      </c>
      <c r="J89" s="7"/>
      <c r="K89" s="7"/>
      <c r="L89" s="7" t="s">
        <v>422</v>
      </c>
      <c r="M89" s="7" t="s">
        <v>55</v>
      </c>
      <c r="N89" s="7" t="s">
        <v>423</v>
      </c>
    </row>
    <row r="90" customFormat="false" ht="34.5" hidden="false" customHeight="true" outlineLevel="0" collapsed="false">
      <c r="A90" s="12" t="s">
        <v>68</v>
      </c>
      <c r="B90" s="12" t="s">
        <v>420</v>
      </c>
      <c r="C90" s="12" t="s">
        <v>427</v>
      </c>
      <c r="D90" s="12" t="s">
        <v>428</v>
      </c>
      <c r="E90" s="12" t="s">
        <v>206</v>
      </c>
      <c r="F90" s="12" t="s">
        <v>253</v>
      </c>
      <c r="G90" s="12" t="s">
        <v>272</v>
      </c>
      <c r="H90" s="12" t="s">
        <v>283</v>
      </c>
      <c r="I90" s="12" t="s">
        <v>256</v>
      </c>
      <c r="J90" s="7"/>
      <c r="K90" s="7"/>
      <c r="L90" s="7" t="s">
        <v>422</v>
      </c>
      <c r="M90" s="7" t="s">
        <v>55</v>
      </c>
      <c r="N90" s="7" t="s">
        <v>423</v>
      </c>
    </row>
    <row r="91" customFormat="false" ht="34.5" hidden="false" customHeight="true" outlineLevel="0" collapsed="false">
      <c r="A91" s="12" t="s">
        <v>68</v>
      </c>
      <c r="B91" s="12" t="s">
        <v>420</v>
      </c>
      <c r="C91" s="12" t="s">
        <v>288</v>
      </c>
      <c r="D91" s="12" t="s">
        <v>429</v>
      </c>
      <c r="E91" s="12"/>
      <c r="F91" s="12" t="s">
        <v>253</v>
      </c>
      <c r="G91" s="12" t="s">
        <v>290</v>
      </c>
      <c r="H91" s="12" t="s">
        <v>291</v>
      </c>
      <c r="I91" s="12" t="s">
        <v>256</v>
      </c>
      <c r="J91" s="7"/>
      <c r="K91" s="7"/>
      <c r="L91" s="7" t="s">
        <v>422</v>
      </c>
      <c r="M91" s="7" t="s">
        <v>55</v>
      </c>
      <c r="N91" s="7" t="s">
        <v>423</v>
      </c>
    </row>
    <row r="92" customFormat="false" ht="34.5" hidden="false" customHeight="true" outlineLevel="0" collapsed="false">
      <c r="A92" s="12" t="s">
        <v>68</v>
      </c>
      <c r="B92" s="12" t="s">
        <v>420</v>
      </c>
      <c r="C92" s="12" t="s">
        <v>430</v>
      </c>
      <c r="D92" s="12" t="s">
        <v>431</v>
      </c>
      <c r="E92" s="12"/>
      <c r="F92" s="12" t="s">
        <v>253</v>
      </c>
      <c r="G92" s="12" t="s">
        <v>432</v>
      </c>
      <c r="H92" s="12" t="s">
        <v>433</v>
      </c>
      <c r="I92" s="12" t="s">
        <v>256</v>
      </c>
      <c r="J92" s="7"/>
      <c r="K92" s="7"/>
      <c r="L92" s="7" t="s">
        <v>422</v>
      </c>
      <c r="M92" s="7" t="s">
        <v>55</v>
      </c>
      <c r="N92" s="7" t="s">
        <v>423</v>
      </c>
    </row>
    <row r="93" customFormat="false" ht="34.5" hidden="false" customHeight="true" outlineLevel="0" collapsed="false">
      <c r="A93" s="12" t="s">
        <v>68</v>
      </c>
      <c r="B93" s="12" t="s">
        <v>434</v>
      </c>
      <c r="C93" s="12" t="s">
        <v>270</v>
      </c>
      <c r="D93" s="12" t="s">
        <v>435</v>
      </c>
      <c r="E93" s="12"/>
      <c r="F93" s="12" t="s">
        <v>253</v>
      </c>
      <c r="G93" s="12" t="s">
        <v>272</v>
      </c>
      <c r="H93" s="12" t="s">
        <v>273</v>
      </c>
      <c r="I93" s="12" t="s">
        <v>256</v>
      </c>
      <c r="J93" s="7"/>
      <c r="K93" s="7"/>
      <c r="L93" s="7" t="s">
        <v>422</v>
      </c>
      <c r="M93" s="7" t="s">
        <v>55</v>
      </c>
      <c r="N93" s="7" t="s">
        <v>423</v>
      </c>
    </row>
    <row r="94" customFormat="false" ht="34.5" hidden="false" customHeight="true" outlineLevel="0" collapsed="false">
      <c r="A94" s="12" t="s">
        <v>68</v>
      </c>
      <c r="B94" s="12" t="s">
        <v>434</v>
      </c>
      <c r="C94" s="12" t="s">
        <v>274</v>
      </c>
      <c r="D94" s="12" t="s">
        <v>436</v>
      </c>
      <c r="E94" s="12"/>
      <c r="F94" s="12" t="s">
        <v>253</v>
      </c>
      <c r="G94" s="12" t="s">
        <v>272</v>
      </c>
      <c r="H94" s="12" t="s">
        <v>276</v>
      </c>
      <c r="I94" s="12" t="s">
        <v>256</v>
      </c>
      <c r="J94" s="7"/>
      <c r="K94" s="7"/>
      <c r="L94" s="7" t="s">
        <v>422</v>
      </c>
      <c r="M94" s="7" t="s">
        <v>55</v>
      </c>
      <c r="N94" s="7" t="s">
        <v>423</v>
      </c>
    </row>
    <row r="95" customFormat="false" ht="15" hidden="false" customHeight="true" outlineLevel="0" collapsed="false">
      <c r="A95" s="12" t="s">
        <v>68</v>
      </c>
      <c r="B95" s="12" t="s">
        <v>437</v>
      </c>
      <c r="C95" s="12" t="s">
        <v>438</v>
      </c>
      <c r="D95" s="12" t="s">
        <v>439</v>
      </c>
      <c r="E95" s="12" t="s">
        <v>206</v>
      </c>
      <c r="F95" s="12" t="s">
        <v>234</v>
      </c>
      <c r="G95" s="12" t="s">
        <v>440</v>
      </c>
      <c r="H95" s="12" t="s">
        <v>441</v>
      </c>
      <c r="I95" s="12" t="s">
        <v>442</v>
      </c>
      <c r="J95" s="7" t="s">
        <v>443</v>
      </c>
      <c r="K95" s="7" t="s">
        <v>444</v>
      </c>
      <c r="L95" s="7" t="s">
        <v>445</v>
      </c>
      <c r="M95" s="7" t="s">
        <v>100</v>
      </c>
      <c r="N95" s="7" t="s">
        <v>446</v>
      </c>
    </row>
    <row r="96" customFormat="false" ht="15" hidden="false" customHeight="true" outlineLevel="0" collapsed="false">
      <c r="A96" s="12" t="s">
        <v>68</v>
      </c>
      <c r="B96" s="12" t="s">
        <v>437</v>
      </c>
      <c r="C96" s="12" t="s">
        <v>447</v>
      </c>
      <c r="D96" s="12" t="s">
        <v>448</v>
      </c>
      <c r="E96" s="12" t="s">
        <v>206</v>
      </c>
      <c r="F96" s="12" t="s">
        <v>234</v>
      </c>
      <c r="G96" s="12" t="s">
        <v>440</v>
      </c>
      <c r="H96" s="12" t="s">
        <v>441</v>
      </c>
      <c r="I96" s="12" t="s">
        <v>442</v>
      </c>
      <c r="J96" s="7" t="s">
        <v>443</v>
      </c>
      <c r="K96" s="7" t="s">
        <v>444</v>
      </c>
      <c r="L96" s="7" t="s">
        <v>449</v>
      </c>
      <c r="M96" s="7" t="s">
        <v>100</v>
      </c>
      <c r="N96" s="7" t="s">
        <v>450</v>
      </c>
    </row>
    <row r="97" customFormat="false" ht="15" hidden="false" customHeight="true" outlineLevel="0" collapsed="false">
      <c r="A97" s="12" t="s">
        <v>68</v>
      </c>
      <c r="B97" s="12" t="s">
        <v>437</v>
      </c>
      <c r="C97" s="12" t="s">
        <v>451</v>
      </c>
      <c r="D97" s="12" t="s">
        <v>452</v>
      </c>
      <c r="E97" s="12" t="s">
        <v>206</v>
      </c>
      <c r="F97" s="12" t="s">
        <v>234</v>
      </c>
      <c r="G97" s="12" t="s">
        <v>440</v>
      </c>
      <c r="H97" s="12" t="s">
        <v>441</v>
      </c>
      <c r="I97" s="12" t="s">
        <v>442</v>
      </c>
      <c r="J97" s="7" t="s">
        <v>443</v>
      </c>
      <c r="K97" s="7" t="s">
        <v>444</v>
      </c>
      <c r="L97" s="7" t="s">
        <v>453</v>
      </c>
      <c r="M97" s="7" t="s">
        <v>100</v>
      </c>
      <c r="N97" s="7" t="s">
        <v>454</v>
      </c>
    </row>
    <row r="98" customFormat="false" ht="15" hidden="false" customHeight="true" outlineLevel="0" collapsed="false">
      <c r="A98" s="12" t="s">
        <v>68</v>
      </c>
      <c r="B98" s="12" t="s">
        <v>437</v>
      </c>
      <c r="C98" s="12" t="s">
        <v>455</v>
      </c>
      <c r="D98" s="12" t="s">
        <v>456</v>
      </c>
      <c r="E98" s="12" t="s">
        <v>206</v>
      </c>
      <c r="F98" s="12" t="s">
        <v>234</v>
      </c>
      <c r="G98" s="12" t="s">
        <v>440</v>
      </c>
      <c r="H98" s="12" t="s">
        <v>441</v>
      </c>
      <c r="I98" s="12" t="s">
        <v>442</v>
      </c>
      <c r="J98" s="7" t="s">
        <v>443</v>
      </c>
      <c r="K98" s="7" t="s">
        <v>444</v>
      </c>
      <c r="L98" s="7" t="s">
        <v>457</v>
      </c>
      <c r="M98" s="7" t="s">
        <v>100</v>
      </c>
      <c r="N98" s="7" t="s">
        <v>458</v>
      </c>
    </row>
    <row r="99" customFormat="false" ht="15" hidden="false" customHeight="true" outlineLevel="0" collapsed="false">
      <c r="A99" s="12" t="s">
        <v>68</v>
      </c>
      <c r="B99" s="12" t="s">
        <v>437</v>
      </c>
      <c r="C99" s="12" t="s">
        <v>459</v>
      </c>
      <c r="D99" s="12" t="s">
        <v>460</v>
      </c>
      <c r="E99" s="12" t="s">
        <v>206</v>
      </c>
      <c r="F99" s="12" t="s">
        <v>234</v>
      </c>
      <c r="G99" s="12" t="s">
        <v>440</v>
      </c>
      <c r="H99" s="12" t="s">
        <v>441</v>
      </c>
      <c r="I99" s="12" t="s">
        <v>442</v>
      </c>
      <c r="J99" s="7" t="s">
        <v>443</v>
      </c>
      <c r="K99" s="7" t="s">
        <v>444</v>
      </c>
      <c r="L99" s="7" t="s">
        <v>461</v>
      </c>
      <c r="M99" s="7" t="s">
        <v>100</v>
      </c>
      <c r="N99" s="7" t="s">
        <v>462</v>
      </c>
    </row>
    <row r="100" customFormat="false" ht="23.25" hidden="false" customHeight="true" outlineLevel="0" collapsed="false">
      <c r="A100" s="12" t="s">
        <v>68</v>
      </c>
      <c r="B100" s="12" t="s">
        <v>437</v>
      </c>
      <c r="C100" s="12" t="s">
        <v>463</v>
      </c>
      <c r="D100" s="12" t="s">
        <v>464</v>
      </c>
      <c r="E100" s="12"/>
      <c r="F100" s="12" t="s">
        <v>234</v>
      </c>
      <c r="G100" s="12" t="s">
        <v>465</v>
      </c>
      <c r="H100" s="12" t="s">
        <v>466</v>
      </c>
      <c r="I100" s="12" t="s">
        <v>467</v>
      </c>
      <c r="J100" s="7"/>
      <c r="K100" s="7"/>
      <c r="L100" s="7"/>
      <c r="M100" s="7" t="s">
        <v>55</v>
      </c>
      <c r="N100" s="7"/>
    </row>
    <row r="101" customFormat="false" ht="23.25" hidden="false" customHeight="true" outlineLevel="0" collapsed="false">
      <c r="A101" s="12" t="s">
        <v>68</v>
      </c>
      <c r="B101" s="12" t="s">
        <v>468</v>
      </c>
      <c r="C101" s="12" t="s">
        <v>469</v>
      </c>
      <c r="D101" s="12" t="s">
        <v>470</v>
      </c>
      <c r="E101" s="12"/>
      <c r="F101" s="12" t="s">
        <v>471</v>
      </c>
      <c r="G101" s="12" t="s">
        <v>472</v>
      </c>
      <c r="H101" s="12" t="s">
        <v>473</v>
      </c>
      <c r="I101" s="12" t="s">
        <v>474</v>
      </c>
      <c r="J101" s="7"/>
      <c r="K101" s="7"/>
      <c r="L101" s="7" t="s">
        <v>475</v>
      </c>
      <c r="M101" s="7" t="s">
        <v>55</v>
      </c>
      <c r="N101" s="7" t="s">
        <v>476</v>
      </c>
    </row>
    <row r="102" customFormat="false" ht="23.25" hidden="false" customHeight="true" outlineLevel="0" collapsed="false">
      <c r="A102" s="12" t="s">
        <v>68</v>
      </c>
      <c r="B102" s="12" t="s">
        <v>468</v>
      </c>
      <c r="C102" s="12" t="s">
        <v>477</v>
      </c>
      <c r="D102" s="12" t="s">
        <v>478</v>
      </c>
      <c r="E102" s="12"/>
      <c r="F102" s="12" t="s">
        <v>471</v>
      </c>
      <c r="G102" s="12" t="s">
        <v>479</v>
      </c>
      <c r="H102" s="12" t="s">
        <v>480</v>
      </c>
      <c r="I102" s="12" t="s">
        <v>474</v>
      </c>
      <c r="J102" s="7"/>
      <c r="K102" s="7"/>
      <c r="L102" s="7" t="s">
        <v>475</v>
      </c>
      <c r="M102" s="7" t="s">
        <v>55</v>
      </c>
      <c r="N102" s="7" t="s">
        <v>476</v>
      </c>
    </row>
    <row r="103" customFormat="false" ht="23.25" hidden="false" customHeight="true" outlineLevel="0" collapsed="false">
      <c r="A103" s="12" t="s">
        <v>68</v>
      </c>
      <c r="B103" s="12" t="s">
        <v>481</v>
      </c>
      <c r="C103" s="12" t="s">
        <v>482</v>
      </c>
      <c r="D103" s="12" t="s">
        <v>483</v>
      </c>
      <c r="E103" s="12" t="s">
        <v>484</v>
      </c>
      <c r="F103" s="12" t="s">
        <v>485</v>
      </c>
      <c r="G103" s="12" t="s">
        <v>486</v>
      </c>
      <c r="H103" s="12" t="s">
        <v>178</v>
      </c>
      <c r="I103" s="12" t="s">
        <v>487</v>
      </c>
      <c r="J103" s="7" t="s">
        <v>488</v>
      </c>
      <c r="K103" s="7" t="s">
        <v>489</v>
      </c>
      <c r="L103" s="7" t="s">
        <v>490</v>
      </c>
      <c r="M103" s="7" t="s">
        <v>100</v>
      </c>
      <c r="N103" s="7" t="s">
        <v>491</v>
      </c>
    </row>
    <row r="104" customFormat="false" ht="23.25" hidden="false" customHeight="true" outlineLevel="0" collapsed="false">
      <c r="A104" s="12" t="s">
        <v>68</v>
      </c>
      <c r="B104" s="12" t="s">
        <v>481</v>
      </c>
      <c r="C104" s="12" t="s">
        <v>492</v>
      </c>
      <c r="D104" s="12" t="s">
        <v>493</v>
      </c>
      <c r="E104" s="12" t="s">
        <v>484</v>
      </c>
      <c r="F104" s="12" t="s">
        <v>485</v>
      </c>
      <c r="G104" s="12" t="s">
        <v>486</v>
      </c>
      <c r="H104" s="12" t="s">
        <v>178</v>
      </c>
      <c r="I104" s="12" t="s">
        <v>487</v>
      </c>
      <c r="J104" s="7" t="s">
        <v>488</v>
      </c>
      <c r="K104" s="7" t="s">
        <v>489</v>
      </c>
      <c r="L104" s="7" t="s">
        <v>494</v>
      </c>
      <c r="M104" s="7" t="s">
        <v>100</v>
      </c>
      <c r="N104" s="7" t="s">
        <v>495</v>
      </c>
    </row>
    <row r="105" customFormat="false" ht="23.25" hidden="false" customHeight="true" outlineLevel="0" collapsed="false">
      <c r="A105" s="12" t="s">
        <v>68</v>
      </c>
      <c r="B105" s="12" t="s">
        <v>481</v>
      </c>
      <c r="C105" s="12" t="s">
        <v>496</v>
      </c>
      <c r="D105" s="12" t="s">
        <v>497</v>
      </c>
      <c r="E105" s="12" t="s">
        <v>484</v>
      </c>
      <c r="F105" s="12" t="s">
        <v>234</v>
      </c>
      <c r="G105" s="12" t="s">
        <v>498</v>
      </c>
      <c r="H105" s="12" t="s">
        <v>499</v>
      </c>
      <c r="I105" s="12" t="s">
        <v>500</v>
      </c>
      <c r="J105" s="7" t="s">
        <v>501</v>
      </c>
      <c r="K105" s="7" t="s">
        <v>502</v>
      </c>
      <c r="L105" s="7"/>
      <c r="M105" s="7" t="s">
        <v>503</v>
      </c>
      <c r="N105" s="7"/>
    </row>
    <row r="106" customFormat="false" ht="34.5" hidden="false" customHeight="true" outlineLevel="0" collapsed="false">
      <c r="A106" s="12" t="s">
        <v>68</v>
      </c>
      <c r="B106" s="12" t="s">
        <v>481</v>
      </c>
      <c r="C106" s="12" t="s">
        <v>504</v>
      </c>
      <c r="D106" s="12" t="s">
        <v>505</v>
      </c>
      <c r="E106" s="12" t="s">
        <v>484</v>
      </c>
      <c r="F106" s="12" t="s">
        <v>485</v>
      </c>
      <c r="G106" s="12" t="s">
        <v>506</v>
      </c>
      <c r="H106" s="12" t="s">
        <v>507</v>
      </c>
      <c r="I106" s="12" t="s">
        <v>508</v>
      </c>
      <c r="J106" s="7" t="s">
        <v>509</v>
      </c>
      <c r="K106" s="7" t="s">
        <v>510</v>
      </c>
      <c r="L106" s="7" t="s">
        <v>511</v>
      </c>
      <c r="M106" s="7" t="s">
        <v>512</v>
      </c>
      <c r="N106" s="7" t="s">
        <v>513</v>
      </c>
    </row>
    <row r="107" customFormat="false" ht="34.5" hidden="false" customHeight="true" outlineLevel="0" collapsed="false">
      <c r="A107" s="12" t="s">
        <v>68</v>
      </c>
      <c r="B107" s="12" t="s">
        <v>481</v>
      </c>
      <c r="C107" s="12" t="s">
        <v>514</v>
      </c>
      <c r="D107" s="12" t="s">
        <v>515</v>
      </c>
      <c r="E107" s="12" t="s">
        <v>484</v>
      </c>
      <c r="F107" s="12" t="s">
        <v>485</v>
      </c>
      <c r="G107" s="12" t="s">
        <v>486</v>
      </c>
      <c r="H107" s="12" t="s">
        <v>178</v>
      </c>
      <c r="I107" s="12" t="s">
        <v>487</v>
      </c>
      <c r="J107" s="7" t="s">
        <v>488</v>
      </c>
      <c r="K107" s="7" t="s">
        <v>489</v>
      </c>
      <c r="L107" s="7" t="s">
        <v>516</v>
      </c>
      <c r="M107" s="7" t="s">
        <v>100</v>
      </c>
      <c r="N107" s="7" t="s">
        <v>517</v>
      </c>
    </row>
    <row r="108" customFormat="false" ht="34.5" hidden="false" customHeight="true" outlineLevel="0" collapsed="false">
      <c r="A108" s="12" t="s">
        <v>68</v>
      </c>
      <c r="B108" s="12" t="s">
        <v>481</v>
      </c>
      <c r="C108" s="12" t="s">
        <v>518</v>
      </c>
      <c r="D108" s="12" t="s">
        <v>519</v>
      </c>
      <c r="E108" s="12" t="s">
        <v>484</v>
      </c>
      <c r="F108" s="12" t="s">
        <v>485</v>
      </c>
      <c r="G108" s="12" t="s">
        <v>486</v>
      </c>
      <c r="H108" s="12" t="s">
        <v>178</v>
      </c>
      <c r="I108" s="12" t="s">
        <v>487</v>
      </c>
      <c r="J108" s="7" t="s">
        <v>488</v>
      </c>
      <c r="K108" s="7" t="s">
        <v>489</v>
      </c>
      <c r="L108" s="7" t="s">
        <v>520</v>
      </c>
      <c r="M108" s="7" t="s">
        <v>100</v>
      </c>
      <c r="N108" s="7" t="s">
        <v>521</v>
      </c>
    </row>
    <row r="109" customFormat="false" ht="34.5" hidden="false" customHeight="true" outlineLevel="0" collapsed="false">
      <c r="A109" s="12" t="s">
        <v>68</v>
      </c>
      <c r="B109" s="12" t="s">
        <v>481</v>
      </c>
      <c r="C109" s="12" t="s">
        <v>522</v>
      </c>
      <c r="D109" s="12" t="s">
        <v>523</v>
      </c>
      <c r="E109" s="12" t="s">
        <v>484</v>
      </c>
      <c r="F109" s="12" t="s">
        <v>485</v>
      </c>
      <c r="G109" s="12" t="s">
        <v>524</v>
      </c>
      <c r="H109" s="12" t="s">
        <v>525</v>
      </c>
      <c r="I109" s="12" t="s">
        <v>526</v>
      </c>
      <c r="J109" s="7" t="s">
        <v>527</v>
      </c>
      <c r="K109" s="7" t="s">
        <v>528</v>
      </c>
      <c r="L109" s="7" t="s">
        <v>529</v>
      </c>
      <c r="M109" s="7" t="s">
        <v>512</v>
      </c>
      <c r="N109" s="7" t="s">
        <v>530</v>
      </c>
    </row>
    <row r="110" customFormat="false" ht="34.5" hidden="false" customHeight="true" outlineLevel="0" collapsed="false">
      <c r="A110" s="12" t="s">
        <v>68</v>
      </c>
      <c r="B110" s="12" t="s">
        <v>481</v>
      </c>
      <c r="C110" s="12" t="s">
        <v>531</v>
      </c>
      <c r="D110" s="12" t="s">
        <v>532</v>
      </c>
      <c r="E110" s="12" t="s">
        <v>484</v>
      </c>
      <c r="F110" s="12" t="s">
        <v>485</v>
      </c>
      <c r="G110" s="12" t="s">
        <v>486</v>
      </c>
      <c r="H110" s="12" t="s">
        <v>178</v>
      </c>
      <c r="I110" s="12" t="s">
        <v>487</v>
      </c>
      <c r="J110" s="7" t="s">
        <v>488</v>
      </c>
      <c r="K110" s="7" t="s">
        <v>489</v>
      </c>
      <c r="L110" s="7" t="s">
        <v>533</v>
      </c>
      <c r="M110" s="7" t="s">
        <v>100</v>
      </c>
      <c r="N110" s="7" t="s">
        <v>534</v>
      </c>
    </row>
    <row r="111" customFormat="false" ht="34.5" hidden="false" customHeight="true" outlineLevel="0" collapsed="false">
      <c r="A111" s="12" t="s">
        <v>68</v>
      </c>
      <c r="B111" s="12" t="s">
        <v>481</v>
      </c>
      <c r="C111" s="12" t="s">
        <v>535</v>
      </c>
      <c r="D111" s="12" t="s">
        <v>536</v>
      </c>
      <c r="E111" s="12" t="s">
        <v>484</v>
      </c>
      <c r="F111" s="12" t="s">
        <v>485</v>
      </c>
      <c r="G111" s="12" t="s">
        <v>486</v>
      </c>
      <c r="H111" s="12" t="s">
        <v>178</v>
      </c>
      <c r="I111" s="12" t="s">
        <v>487</v>
      </c>
      <c r="J111" s="7" t="s">
        <v>488</v>
      </c>
      <c r="K111" s="7" t="s">
        <v>489</v>
      </c>
      <c r="L111" s="7" t="s">
        <v>537</v>
      </c>
      <c r="M111" s="7" t="s">
        <v>100</v>
      </c>
      <c r="N111" s="7" t="s">
        <v>538</v>
      </c>
    </row>
    <row r="112" customFormat="false" ht="23.25" hidden="false" customHeight="true" outlineLevel="0" collapsed="false">
      <c r="A112" s="12" t="s">
        <v>68</v>
      </c>
      <c r="B112" s="12" t="s">
        <v>481</v>
      </c>
      <c r="C112" s="12" t="s">
        <v>539</v>
      </c>
      <c r="D112" s="12" t="s">
        <v>540</v>
      </c>
      <c r="E112" s="12" t="s">
        <v>484</v>
      </c>
      <c r="F112" s="12" t="s">
        <v>485</v>
      </c>
      <c r="G112" s="12" t="s">
        <v>527</v>
      </c>
      <c r="H112" s="12" t="s">
        <v>541</v>
      </c>
      <c r="I112" s="12" t="s">
        <v>542</v>
      </c>
      <c r="J112" s="7" t="s">
        <v>527</v>
      </c>
      <c r="K112" s="7" t="s">
        <v>543</v>
      </c>
      <c r="L112" s="7" t="s">
        <v>544</v>
      </c>
      <c r="M112" s="7" t="s">
        <v>100</v>
      </c>
      <c r="N112" s="7"/>
    </row>
    <row r="113" customFormat="false" ht="34.5" hidden="false" customHeight="true" outlineLevel="0" collapsed="false">
      <c r="A113" s="12" t="s">
        <v>68</v>
      </c>
      <c r="B113" s="12" t="s">
        <v>545</v>
      </c>
      <c r="C113" s="12" t="s">
        <v>204</v>
      </c>
      <c r="D113" s="12" t="s">
        <v>546</v>
      </c>
      <c r="E113" s="12" t="s">
        <v>206</v>
      </c>
      <c r="F113" s="12" t="s">
        <v>207</v>
      </c>
      <c r="G113" s="12" t="s">
        <v>337</v>
      </c>
      <c r="H113" s="12" t="s">
        <v>338</v>
      </c>
      <c r="I113" s="12" t="s">
        <v>210</v>
      </c>
      <c r="J113" s="7"/>
      <c r="K113" s="7"/>
      <c r="L113" s="7" t="s">
        <v>547</v>
      </c>
      <c r="M113" s="7" t="s">
        <v>512</v>
      </c>
      <c r="N113" s="7" t="s">
        <v>548</v>
      </c>
    </row>
    <row r="114" customFormat="false" ht="34.5" hidden="false" customHeight="true" outlineLevel="0" collapsed="false">
      <c r="A114" s="12" t="s">
        <v>68</v>
      </c>
      <c r="B114" s="12" t="s">
        <v>545</v>
      </c>
      <c r="C114" s="12" t="s">
        <v>215</v>
      </c>
      <c r="D114" s="12" t="s">
        <v>549</v>
      </c>
      <c r="E114" s="12" t="s">
        <v>206</v>
      </c>
      <c r="F114" s="12" t="s">
        <v>207</v>
      </c>
      <c r="G114" s="12" t="s">
        <v>337</v>
      </c>
      <c r="H114" s="12" t="s">
        <v>338</v>
      </c>
      <c r="I114" s="12" t="s">
        <v>210</v>
      </c>
      <c r="J114" s="7"/>
      <c r="K114" s="7"/>
      <c r="L114" s="7" t="s">
        <v>547</v>
      </c>
      <c r="M114" s="7" t="s">
        <v>512</v>
      </c>
      <c r="N114" s="7" t="s">
        <v>548</v>
      </c>
    </row>
    <row r="115" customFormat="false" ht="34.5" hidden="false" customHeight="true" outlineLevel="0" collapsed="false">
      <c r="A115" s="12" t="s">
        <v>68</v>
      </c>
      <c r="B115" s="12" t="s">
        <v>545</v>
      </c>
      <c r="C115" s="12" t="s">
        <v>219</v>
      </c>
      <c r="D115" s="12" t="s">
        <v>550</v>
      </c>
      <c r="E115" s="12" t="s">
        <v>206</v>
      </c>
      <c r="F115" s="12" t="s">
        <v>207</v>
      </c>
      <c r="G115" s="12" t="s">
        <v>337</v>
      </c>
      <c r="H115" s="12" t="s">
        <v>338</v>
      </c>
      <c r="I115" s="12" t="s">
        <v>210</v>
      </c>
      <c r="J115" s="7"/>
      <c r="K115" s="7"/>
      <c r="L115" s="7" t="s">
        <v>547</v>
      </c>
      <c r="M115" s="7" t="s">
        <v>512</v>
      </c>
      <c r="N115" s="7" t="s">
        <v>548</v>
      </c>
    </row>
    <row r="116" customFormat="false" ht="34.5" hidden="false" customHeight="true" outlineLevel="0" collapsed="false">
      <c r="A116" s="12" t="s">
        <v>68</v>
      </c>
      <c r="B116" s="12" t="s">
        <v>545</v>
      </c>
      <c r="C116" s="12" t="s">
        <v>223</v>
      </c>
      <c r="D116" s="12" t="s">
        <v>551</v>
      </c>
      <c r="E116" s="12" t="s">
        <v>206</v>
      </c>
      <c r="F116" s="12" t="s">
        <v>207</v>
      </c>
      <c r="G116" s="12" t="s">
        <v>337</v>
      </c>
      <c r="H116" s="12" t="s">
        <v>338</v>
      </c>
      <c r="I116" s="12" t="s">
        <v>210</v>
      </c>
      <c r="J116" s="7"/>
      <c r="K116" s="7"/>
      <c r="L116" s="7" t="s">
        <v>547</v>
      </c>
      <c r="M116" s="7" t="s">
        <v>512</v>
      </c>
      <c r="N116" s="7" t="s">
        <v>548</v>
      </c>
    </row>
    <row r="117" customFormat="false" ht="34.5" hidden="false" customHeight="true" outlineLevel="0" collapsed="false">
      <c r="A117" s="12" t="s">
        <v>68</v>
      </c>
      <c r="B117" s="12" t="s">
        <v>545</v>
      </c>
      <c r="C117" s="12" t="s">
        <v>227</v>
      </c>
      <c r="D117" s="12" t="s">
        <v>552</v>
      </c>
      <c r="E117" s="12" t="s">
        <v>206</v>
      </c>
      <c r="F117" s="12" t="s">
        <v>207</v>
      </c>
      <c r="G117" s="12" t="s">
        <v>337</v>
      </c>
      <c r="H117" s="12" t="s">
        <v>338</v>
      </c>
      <c r="I117" s="12" t="s">
        <v>210</v>
      </c>
      <c r="J117" s="7"/>
      <c r="K117" s="7"/>
      <c r="L117" s="7" t="s">
        <v>547</v>
      </c>
      <c r="M117" s="7" t="s">
        <v>512</v>
      </c>
      <c r="N117" s="7" t="s">
        <v>548</v>
      </c>
    </row>
    <row r="118" customFormat="false" ht="23.25" hidden="false" customHeight="true" outlineLevel="0" collapsed="false">
      <c r="A118" s="12" t="s">
        <v>68</v>
      </c>
      <c r="B118" s="12" t="s">
        <v>545</v>
      </c>
      <c r="C118" s="12" t="s">
        <v>553</v>
      </c>
      <c r="D118" s="12" t="s">
        <v>554</v>
      </c>
      <c r="E118" s="12" t="s">
        <v>206</v>
      </c>
      <c r="F118" s="12" t="s">
        <v>234</v>
      </c>
      <c r="G118" s="12" t="s">
        <v>350</v>
      </c>
      <c r="H118" s="12" t="s">
        <v>351</v>
      </c>
      <c r="I118" s="12" t="s">
        <v>237</v>
      </c>
      <c r="J118" s="7"/>
      <c r="K118" s="7"/>
      <c r="L118" s="7" t="s">
        <v>555</v>
      </c>
      <c r="M118" s="7" t="s">
        <v>512</v>
      </c>
      <c r="N118" s="7" t="s">
        <v>548</v>
      </c>
    </row>
    <row r="119" customFormat="false" ht="23.25" hidden="false" customHeight="true" outlineLevel="0" collapsed="false">
      <c r="A119" s="12" t="s">
        <v>68</v>
      </c>
      <c r="B119" s="12" t="s">
        <v>545</v>
      </c>
      <c r="C119" s="12" t="s">
        <v>556</v>
      </c>
      <c r="D119" s="12" t="s">
        <v>557</v>
      </c>
      <c r="E119" s="12" t="s">
        <v>206</v>
      </c>
      <c r="F119" s="12" t="s">
        <v>234</v>
      </c>
      <c r="G119" s="12" t="s">
        <v>350</v>
      </c>
      <c r="H119" s="12" t="s">
        <v>351</v>
      </c>
      <c r="I119" s="12" t="s">
        <v>237</v>
      </c>
      <c r="J119" s="7"/>
      <c r="K119" s="7"/>
      <c r="L119" s="7" t="s">
        <v>558</v>
      </c>
      <c r="M119" s="7" t="s">
        <v>512</v>
      </c>
      <c r="N119" s="7" t="s">
        <v>548</v>
      </c>
    </row>
    <row r="120" customFormat="false" ht="23.25" hidden="false" customHeight="true" outlineLevel="0" collapsed="false">
      <c r="A120" s="12" t="s">
        <v>68</v>
      </c>
      <c r="B120" s="12" t="s">
        <v>545</v>
      </c>
      <c r="C120" s="12" t="s">
        <v>559</v>
      </c>
      <c r="D120" s="12" t="s">
        <v>560</v>
      </c>
      <c r="E120" s="12" t="s">
        <v>206</v>
      </c>
      <c r="F120" s="12" t="s">
        <v>234</v>
      </c>
      <c r="G120" s="12" t="s">
        <v>350</v>
      </c>
      <c r="H120" s="12" t="s">
        <v>351</v>
      </c>
      <c r="I120" s="12" t="s">
        <v>237</v>
      </c>
      <c r="J120" s="7"/>
      <c r="K120" s="7"/>
      <c r="L120" s="7" t="s">
        <v>561</v>
      </c>
      <c r="M120" s="7" t="s">
        <v>512</v>
      </c>
      <c r="N120" s="7" t="s">
        <v>548</v>
      </c>
    </row>
    <row r="121" customFormat="false" ht="23.25" hidden="false" customHeight="true" outlineLevel="0" collapsed="false">
      <c r="A121" s="12" t="s">
        <v>68</v>
      </c>
      <c r="B121" s="12" t="s">
        <v>545</v>
      </c>
      <c r="C121" s="12" t="s">
        <v>562</v>
      </c>
      <c r="D121" s="12" t="s">
        <v>563</v>
      </c>
      <c r="E121" s="12" t="s">
        <v>206</v>
      </c>
      <c r="F121" s="12" t="s">
        <v>234</v>
      </c>
      <c r="G121" s="12" t="s">
        <v>350</v>
      </c>
      <c r="H121" s="12" t="s">
        <v>351</v>
      </c>
      <c r="I121" s="12" t="s">
        <v>237</v>
      </c>
      <c r="J121" s="7"/>
      <c r="K121" s="7"/>
      <c r="L121" s="7" t="s">
        <v>564</v>
      </c>
      <c r="M121" s="7" t="s">
        <v>512</v>
      </c>
      <c r="N121" s="7" t="s">
        <v>548</v>
      </c>
    </row>
    <row r="122" customFormat="false" ht="23.25" hidden="false" customHeight="true" outlineLevel="0" collapsed="false">
      <c r="A122" s="12" t="s">
        <v>68</v>
      </c>
      <c r="B122" s="12" t="s">
        <v>545</v>
      </c>
      <c r="C122" s="12" t="s">
        <v>565</v>
      </c>
      <c r="D122" s="12" t="s">
        <v>566</v>
      </c>
      <c r="E122" s="12" t="s">
        <v>206</v>
      </c>
      <c r="F122" s="12" t="s">
        <v>234</v>
      </c>
      <c r="G122" s="12" t="s">
        <v>350</v>
      </c>
      <c r="H122" s="12" t="s">
        <v>351</v>
      </c>
      <c r="I122" s="12" t="s">
        <v>237</v>
      </c>
      <c r="J122" s="7"/>
      <c r="K122" s="7"/>
      <c r="L122" s="7" t="s">
        <v>567</v>
      </c>
      <c r="M122" s="7" t="s">
        <v>512</v>
      </c>
      <c r="N122" s="7" t="s">
        <v>548</v>
      </c>
    </row>
    <row r="123" customFormat="false" ht="23.25" hidden="false" customHeight="true" outlineLevel="0" collapsed="false">
      <c r="A123" s="12" t="s">
        <v>68</v>
      </c>
      <c r="B123" s="12" t="s">
        <v>545</v>
      </c>
      <c r="C123" s="12" t="s">
        <v>568</v>
      </c>
      <c r="D123" s="12" t="s">
        <v>569</v>
      </c>
      <c r="E123" s="12" t="s">
        <v>206</v>
      </c>
      <c r="F123" s="12" t="s">
        <v>234</v>
      </c>
      <c r="G123" s="12" t="s">
        <v>350</v>
      </c>
      <c r="H123" s="12" t="s">
        <v>351</v>
      </c>
      <c r="I123" s="12" t="s">
        <v>237</v>
      </c>
      <c r="J123" s="7"/>
      <c r="K123" s="7"/>
      <c r="L123" s="7" t="s">
        <v>570</v>
      </c>
      <c r="M123" s="7" t="s">
        <v>512</v>
      </c>
      <c r="N123" s="7" t="s">
        <v>548</v>
      </c>
    </row>
    <row r="124" customFormat="false" ht="23.25" hidden="false" customHeight="true" outlineLevel="0" collapsed="false">
      <c r="A124" s="12" t="s">
        <v>68</v>
      </c>
      <c r="B124" s="12" t="s">
        <v>545</v>
      </c>
      <c r="C124" s="12" t="s">
        <v>571</v>
      </c>
      <c r="D124" s="12" t="s">
        <v>572</v>
      </c>
      <c r="E124" s="12" t="s">
        <v>206</v>
      </c>
      <c r="F124" s="12" t="s">
        <v>234</v>
      </c>
      <c r="G124" s="12" t="s">
        <v>350</v>
      </c>
      <c r="H124" s="12" t="s">
        <v>351</v>
      </c>
      <c r="I124" s="12" t="s">
        <v>237</v>
      </c>
      <c r="J124" s="7"/>
      <c r="K124" s="7"/>
      <c r="L124" s="7" t="s">
        <v>570</v>
      </c>
      <c r="M124" s="7" t="s">
        <v>512</v>
      </c>
      <c r="N124" s="7" t="s">
        <v>548</v>
      </c>
    </row>
    <row r="125" customFormat="false" ht="23.25" hidden="false" customHeight="true" outlineLevel="0" collapsed="false">
      <c r="A125" s="12" t="s">
        <v>68</v>
      </c>
      <c r="B125" s="12" t="s">
        <v>545</v>
      </c>
      <c r="C125" s="12" t="s">
        <v>573</v>
      </c>
      <c r="D125" s="12" t="s">
        <v>574</v>
      </c>
      <c r="E125" s="12" t="s">
        <v>206</v>
      </c>
      <c r="F125" s="12" t="s">
        <v>234</v>
      </c>
      <c r="G125" s="12" t="s">
        <v>350</v>
      </c>
      <c r="H125" s="12" t="s">
        <v>351</v>
      </c>
      <c r="I125" s="12" t="s">
        <v>237</v>
      </c>
      <c r="J125" s="7"/>
      <c r="K125" s="7"/>
      <c r="L125" s="7" t="s">
        <v>575</v>
      </c>
      <c r="M125" s="7" t="s">
        <v>512</v>
      </c>
      <c r="N125" s="7" t="s">
        <v>548</v>
      </c>
    </row>
    <row r="126" customFormat="false" ht="23.25" hidden="false" customHeight="true" outlineLevel="0" collapsed="false">
      <c r="A126" s="12" t="s">
        <v>68</v>
      </c>
      <c r="B126" s="12" t="s">
        <v>545</v>
      </c>
      <c r="C126" s="12" t="s">
        <v>576</v>
      </c>
      <c r="D126" s="12" t="s">
        <v>577</v>
      </c>
      <c r="E126" s="12" t="s">
        <v>206</v>
      </c>
      <c r="F126" s="12" t="s">
        <v>234</v>
      </c>
      <c r="G126" s="12" t="s">
        <v>350</v>
      </c>
      <c r="H126" s="12" t="s">
        <v>351</v>
      </c>
      <c r="I126" s="12" t="s">
        <v>237</v>
      </c>
      <c r="J126" s="7"/>
      <c r="K126" s="7"/>
      <c r="L126" s="7" t="s">
        <v>570</v>
      </c>
      <c r="M126" s="7" t="s">
        <v>512</v>
      </c>
      <c r="N126" s="7" t="s">
        <v>548</v>
      </c>
    </row>
    <row r="127" customFormat="false" ht="23.25" hidden="false" customHeight="true" outlineLevel="0" collapsed="false">
      <c r="A127" s="12" t="s">
        <v>68</v>
      </c>
      <c r="B127" s="12" t="s">
        <v>545</v>
      </c>
      <c r="C127" s="12" t="s">
        <v>578</v>
      </c>
      <c r="D127" s="12" t="s">
        <v>579</v>
      </c>
      <c r="E127" s="12" t="s">
        <v>206</v>
      </c>
      <c r="F127" s="12" t="s">
        <v>234</v>
      </c>
      <c r="G127" s="12" t="s">
        <v>350</v>
      </c>
      <c r="H127" s="12" t="s">
        <v>351</v>
      </c>
      <c r="I127" s="12" t="s">
        <v>237</v>
      </c>
      <c r="J127" s="7"/>
      <c r="K127" s="7"/>
      <c r="L127" s="7" t="s">
        <v>580</v>
      </c>
      <c r="M127" s="7" t="s">
        <v>512</v>
      </c>
      <c r="N127" s="7" t="s">
        <v>548</v>
      </c>
    </row>
    <row r="128" customFormat="false" ht="23.25" hidden="false" customHeight="true" outlineLevel="0" collapsed="false">
      <c r="A128" s="12" t="s">
        <v>68</v>
      </c>
      <c r="B128" s="12" t="s">
        <v>545</v>
      </c>
      <c r="C128" s="12" t="s">
        <v>581</v>
      </c>
      <c r="D128" s="12" t="s">
        <v>582</v>
      </c>
      <c r="E128" s="12" t="s">
        <v>206</v>
      </c>
      <c r="F128" s="12" t="s">
        <v>234</v>
      </c>
      <c r="G128" s="12" t="s">
        <v>350</v>
      </c>
      <c r="H128" s="12" t="s">
        <v>351</v>
      </c>
      <c r="I128" s="12" t="s">
        <v>237</v>
      </c>
      <c r="J128" s="7"/>
      <c r="K128" s="7"/>
      <c r="L128" s="7" t="s">
        <v>580</v>
      </c>
      <c r="M128" s="7" t="s">
        <v>512</v>
      </c>
      <c r="N128" s="7" t="s">
        <v>548</v>
      </c>
    </row>
    <row r="129" customFormat="false" ht="23.25" hidden="false" customHeight="true" outlineLevel="0" collapsed="false">
      <c r="A129" s="12" t="s">
        <v>68</v>
      </c>
      <c r="B129" s="12" t="s">
        <v>545</v>
      </c>
      <c r="C129" s="12" t="s">
        <v>583</v>
      </c>
      <c r="D129" s="12" t="s">
        <v>584</v>
      </c>
      <c r="E129" s="12" t="s">
        <v>206</v>
      </c>
      <c r="F129" s="12" t="s">
        <v>234</v>
      </c>
      <c r="G129" s="12" t="s">
        <v>350</v>
      </c>
      <c r="H129" s="12" t="s">
        <v>351</v>
      </c>
      <c r="I129" s="12" t="s">
        <v>237</v>
      </c>
      <c r="J129" s="7"/>
      <c r="K129" s="7"/>
      <c r="L129" s="7" t="s">
        <v>580</v>
      </c>
      <c r="M129" s="7" t="s">
        <v>512</v>
      </c>
      <c r="N129" s="7" t="s">
        <v>548</v>
      </c>
    </row>
    <row r="130" customFormat="false" ht="23.25" hidden="false" customHeight="true" outlineLevel="0" collapsed="false">
      <c r="A130" s="12" t="s">
        <v>68</v>
      </c>
      <c r="B130" s="12" t="s">
        <v>545</v>
      </c>
      <c r="C130" s="12" t="s">
        <v>585</v>
      </c>
      <c r="D130" s="12" t="s">
        <v>586</v>
      </c>
      <c r="E130" s="12" t="s">
        <v>206</v>
      </c>
      <c r="F130" s="12" t="s">
        <v>234</v>
      </c>
      <c r="G130" s="12" t="s">
        <v>350</v>
      </c>
      <c r="H130" s="12" t="s">
        <v>351</v>
      </c>
      <c r="I130" s="12" t="s">
        <v>237</v>
      </c>
      <c r="J130" s="7"/>
      <c r="K130" s="7"/>
      <c r="L130" s="7" t="s">
        <v>587</v>
      </c>
      <c r="M130" s="7" t="s">
        <v>512</v>
      </c>
      <c r="N130" s="7" t="s">
        <v>548</v>
      </c>
    </row>
    <row r="131" customFormat="false" ht="23.25" hidden="false" customHeight="true" outlineLevel="0" collapsed="false">
      <c r="A131" s="12" t="s">
        <v>68</v>
      </c>
      <c r="B131" s="12" t="s">
        <v>545</v>
      </c>
      <c r="C131" s="12" t="s">
        <v>588</v>
      </c>
      <c r="D131" s="12" t="s">
        <v>589</v>
      </c>
      <c r="E131" s="12" t="s">
        <v>206</v>
      </c>
      <c r="F131" s="12" t="s">
        <v>234</v>
      </c>
      <c r="G131" s="12" t="s">
        <v>350</v>
      </c>
      <c r="H131" s="12" t="s">
        <v>351</v>
      </c>
      <c r="I131" s="12" t="s">
        <v>237</v>
      </c>
      <c r="J131" s="7"/>
      <c r="K131" s="7"/>
      <c r="L131" s="7" t="s">
        <v>590</v>
      </c>
      <c r="M131" s="7" t="s">
        <v>512</v>
      </c>
      <c r="N131" s="7" t="s">
        <v>548</v>
      </c>
    </row>
    <row r="132" customFormat="false" ht="23.25" hidden="false" customHeight="true" outlineLevel="0" collapsed="false">
      <c r="A132" s="12" t="s">
        <v>68</v>
      </c>
      <c r="B132" s="12" t="s">
        <v>545</v>
      </c>
      <c r="C132" s="12" t="s">
        <v>591</v>
      </c>
      <c r="D132" s="12" t="s">
        <v>592</v>
      </c>
      <c r="E132" s="12" t="s">
        <v>206</v>
      </c>
      <c r="F132" s="12" t="s">
        <v>234</v>
      </c>
      <c r="G132" s="12" t="s">
        <v>350</v>
      </c>
      <c r="H132" s="12" t="s">
        <v>351</v>
      </c>
      <c r="I132" s="12" t="s">
        <v>237</v>
      </c>
      <c r="J132" s="7"/>
      <c r="K132" s="7"/>
      <c r="L132" s="7" t="s">
        <v>593</v>
      </c>
      <c r="M132" s="7" t="s">
        <v>512</v>
      </c>
      <c r="N132" s="7" t="s">
        <v>548</v>
      </c>
    </row>
    <row r="133" customFormat="false" ht="23.25" hidden="false" customHeight="true" outlineLevel="0" collapsed="false">
      <c r="A133" s="13" t="s">
        <v>69</v>
      </c>
      <c r="B133" s="13" t="s">
        <v>545</v>
      </c>
      <c r="C133" s="13" t="s">
        <v>149</v>
      </c>
      <c r="D133" s="13" t="s">
        <v>594</v>
      </c>
      <c r="E133" s="13" t="s">
        <v>242</v>
      </c>
      <c r="F133" s="13" t="s">
        <v>234</v>
      </c>
      <c r="G133" s="13" t="s">
        <v>362</v>
      </c>
      <c r="H133" s="13" t="s">
        <v>363</v>
      </c>
      <c r="I133" s="13" t="s">
        <v>317</v>
      </c>
      <c r="J133" s="7"/>
      <c r="K133" s="7"/>
      <c r="L133" s="7"/>
      <c r="M133" s="7" t="s">
        <v>55</v>
      </c>
      <c r="N133" s="7"/>
    </row>
    <row r="134" customFormat="false" ht="23.25" hidden="false" customHeight="true" outlineLevel="0" collapsed="false">
      <c r="A134" s="12" t="s">
        <v>68</v>
      </c>
      <c r="B134" s="12" t="s">
        <v>595</v>
      </c>
      <c r="C134" s="12" t="s">
        <v>596</v>
      </c>
      <c r="D134" s="12" t="s">
        <v>597</v>
      </c>
      <c r="E134" s="12" t="s">
        <v>242</v>
      </c>
      <c r="F134" s="12" t="s">
        <v>234</v>
      </c>
      <c r="G134" s="12" t="s">
        <v>598</v>
      </c>
      <c r="H134" s="12" t="s">
        <v>599</v>
      </c>
      <c r="I134" s="12" t="s">
        <v>600</v>
      </c>
      <c r="J134" s="7"/>
      <c r="K134" s="7"/>
      <c r="L134" s="7"/>
      <c r="M134" s="7" t="s">
        <v>55</v>
      </c>
      <c r="N134" s="7" t="s">
        <v>601</v>
      </c>
    </row>
    <row r="135" customFormat="false" ht="23.25" hidden="false" customHeight="true" outlineLevel="0" collapsed="false">
      <c r="A135" s="12" t="s">
        <v>68</v>
      </c>
      <c r="B135" s="12" t="s">
        <v>602</v>
      </c>
      <c r="C135" s="12" t="s">
        <v>603</v>
      </c>
      <c r="D135" s="12" t="s">
        <v>604</v>
      </c>
      <c r="E135" s="12" t="s">
        <v>206</v>
      </c>
      <c r="F135" s="12" t="s">
        <v>234</v>
      </c>
      <c r="G135" s="12" t="s">
        <v>605</v>
      </c>
      <c r="H135" s="12" t="s">
        <v>606</v>
      </c>
      <c r="I135" s="12" t="s">
        <v>607</v>
      </c>
      <c r="J135" s="7"/>
      <c r="K135" s="7"/>
      <c r="L135" s="7" t="s">
        <v>608</v>
      </c>
      <c r="M135" s="7" t="s">
        <v>55</v>
      </c>
      <c r="N135" s="7" t="s">
        <v>609</v>
      </c>
    </row>
    <row r="136" customFormat="false" ht="23.25" hidden="false" customHeight="true" outlineLevel="0" collapsed="false">
      <c r="A136" s="12" t="s">
        <v>68</v>
      </c>
      <c r="B136" s="12" t="s">
        <v>602</v>
      </c>
      <c r="C136" s="12" t="s">
        <v>610</v>
      </c>
      <c r="D136" s="12" t="s">
        <v>611</v>
      </c>
      <c r="E136" s="12" t="s">
        <v>206</v>
      </c>
      <c r="F136" s="12" t="s">
        <v>234</v>
      </c>
      <c r="G136" s="12" t="s">
        <v>605</v>
      </c>
      <c r="H136" s="12" t="s">
        <v>606</v>
      </c>
      <c r="I136" s="12" t="s">
        <v>607</v>
      </c>
      <c r="J136" s="7"/>
      <c r="K136" s="7"/>
      <c r="L136" s="7" t="s">
        <v>612</v>
      </c>
      <c r="M136" s="7" t="s">
        <v>55</v>
      </c>
      <c r="N136" s="7" t="s">
        <v>609</v>
      </c>
    </row>
    <row r="137" customFormat="false" ht="23.25" hidden="false" customHeight="true" outlineLevel="0" collapsed="false">
      <c r="A137" s="12" t="s">
        <v>68</v>
      </c>
      <c r="B137" s="12" t="s">
        <v>602</v>
      </c>
      <c r="C137" s="12" t="s">
        <v>613</v>
      </c>
      <c r="D137" s="12" t="s">
        <v>614</v>
      </c>
      <c r="E137" s="12" t="s">
        <v>206</v>
      </c>
      <c r="F137" s="12" t="s">
        <v>234</v>
      </c>
      <c r="G137" s="12" t="s">
        <v>605</v>
      </c>
      <c r="H137" s="12" t="s">
        <v>606</v>
      </c>
      <c r="I137" s="12" t="s">
        <v>607</v>
      </c>
      <c r="J137" s="7"/>
      <c r="K137" s="7"/>
      <c r="L137" s="7" t="s">
        <v>615</v>
      </c>
      <c r="M137" s="7" t="s">
        <v>55</v>
      </c>
      <c r="N137" s="7" t="s">
        <v>609</v>
      </c>
    </row>
    <row r="138" customFormat="false" ht="23.25" hidden="false" customHeight="true" outlineLevel="0" collapsed="false">
      <c r="A138" s="12" t="s">
        <v>68</v>
      </c>
      <c r="B138" s="12" t="s">
        <v>602</v>
      </c>
      <c r="C138" s="12" t="s">
        <v>616</v>
      </c>
      <c r="D138" s="12" t="s">
        <v>617</v>
      </c>
      <c r="E138" s="12" t="s">
        <v>206</v>
      </c>
      <c r="F138" s="12" t="s">
        <v>234</v>
      </c>
      <c r="G138" s="12" t="s">
        <v>605</v>
      </c>
      <c r="H138" s="12" t="s">
        <v>606</v>
      </c>
      <c r="I138" s="12" t="s">
        <v>607</v>
      </c>
      <c r="J138" s="7"/>
      <c r="K138" s="7"/>
      <c r="L138" s="7" t="s">
        <v>618</v>
      </c>
      <c r="M138" s="7" t="s">
        <v>55</v>
      </c>
      <c r="N138" s="7" t="s">
        <v>609</v>
      </c>
    </row>
    <row r="139" customFormat="false" ht="90.75" hidden="false" customHeight="true" outlineLevel="0" collapsed="false"/>
    <row r="140" customFormat="false" ht="90.75" hidden="false" customHeight="true" outlineLevel="0" collapsed="false"/>
    <row r="141" customFormat="false" ht="90.75" hidden="false" customHeight="true" outlineLevel="0" collapsed="false"/>
    <row r="142" customFormat="false" ht="90.75" hidden="false" customHeight="true" outlineLevel="0" collapsed="false"/>
    <row r="143" customFormat="false" ht="90.75" hidden="false" customHeight="true" outlineLevel="0" collapsed="false"/>
    <row r="144" customFormat="false" ht="90.75" hidden="false" customHeight="true" outlineLevel="0" collapsed="false"/>
    <row r="145" customFormat="false" ht="90.75" hidden="false" customHeight="true" outlineLevel="0" collapsed="false"/>
    <row r="146" customFormat="false" ht="90.75" hidden="false" customHeight="true" outlineLevel="0" collapsed="false"/>
  </sheetData>
  <autoFilter ref="A4:N138"/>
  <dataValidations count="1">
    <dataValidation allowBlank="true" errorStyle="stop" operator="between" showDropDown="false" showErrorMessage="false" showInputMessage="false" sqref="M5:M138" type="list">
      <formula1>"offen,in Klärung,definiert,umgesetzt,zurückgestellt,nicht SAP"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0"/>
    <col collapsed="false" customWidth="true" hidden="false" outlineLevel="0" max="3" min="3" style="1" width="11"/>
    <col collapsed="false" customWidth="true" hidden="false" outlineLevel="0" max="5" min="4" style="1" width="30"/>
  </cols>
  <sheetData>
    <row r="1" customFormat="false" ht="15.75" hidden="false" customHeight="true" outlineLevel="0" collapsed="false">
      <c r="A1" s="9" t="s">
        <v>619</v>
      </c>
    </row>
    <row r="2" customFormat="false" ht="15" hidden="false" customHeight="true" outlineLevel="0" collapsed="false">
      <c r="A2" s="3" t="s">
        <v>620</v>
      </c>
    </row>
    <row r="4" customFormat="false" ht="15" hidden="false" customHeight="true" outlineLevel="0" collapsed="false">
      <c r="A4" s="4" t="s">
        <v>621</v>
      </c>
      <c r="B4" s="4" t="s">
        <v>622</v>
      </c>
      <c r="C4" s="4" t="s">
        <v>623</v>
      </c>
    </row>
    <row r="5" customFormat="false" ht="23.25" hidden="false" customHeight="true" outlineLevel="0" collapsed="false">
      <c r="A5" s="12" t="s">
        <v>624</v>
      </c>
      <c r="B5" s="12" t="s">
        <v>625</v>
      </c>
      <c r="C5" s="12" t="n">
        <f aca="false">COUNTIF($C$15:$C$103,A5)</f>
        <v>18</v>
      </c>
    </row>
    <row r="6" customFormat="false" ht="15" hidden="false" customHeight="true" outlineLevel="0" collapsed="false">
      <c r="A6" s="12" t="s">
        <v>626</v>
      </c>
      <c r="B6" s="12" t="s">
        <v>627</v>
      </c>
      <c r="C6" s="12" t="n">
        <f aca="false">COUNTIF($C$15:$C$103,A6)</f>
        <v>10</v>
      </c>
    </row>
    <row r="7" customFormat="false" ht="15" hidden="false" customHeight="true" outlineLevel="0" collapsed="false">
      <c r="A7" s="12" t="s">
        <v>628</v>
      </c>
      <c r="B7" s="12" t="s">
        <v>629</v>
      </c>
      <c r="C7" s="12" t="n">
        <f aca="false">COUNTIF($C$15:$C$103,A7)</f>
        <v>11</v>
      </c>
    </row>
    <row r="8" customFormat="false" ht="23.25" hidden="false" customHeight="true" outlineLevel="0" collapsed="false">
      <c r="A8" s="12" t="s">
        <v>630</v>
      </c>
      <c r="B8" s="12" t="s">
        <v>631</v>
      </c>
      <c r="C8" s="12" t="n">
        <f aca="false">COUNTIF($C$15:$C$103,A8)</f>
        <v>20</v>
      </c>
    </row>
    <row r="9" customFormat="false" ht="15" hidden="false" customHeight="true" outlineLevel="0" collapsed="false">
      <c r="A9" s="12" t="s">
        <v>545</v>
      </c>
      <c r="B9" s="12" t="s">
        <v>632</v>
      </c>
      <c r="C9" s="12" t="n">
        <f aca="false">COUNTIF($C$15:$C$103,A9)</f>
        <v>12</v>
      </c>
    </row>
    <row r="10" customFormat="false" ht="15" hidden="false" customHeight="true" outlineLevel="0" collapsed="false">
      <c r="A10" s="12" t="s">
        <v>633</v>
      </c>
      <c r="B10" s="12" t="s">
        <v>634</v>
      </c>
      <c r="C10" s="12" t="n">
        <f aca="false">COUNTIF($C$15:$C$103,A10)</f>
        <v>0</v>
      </c>
    </row>
    <row r="13" customFormat="false" ht="15" hidden="false" customHeight="true" outlineLevel="0" collapsed="false">
      <c r="A13" s="14" t="s">
        <v>635</v>
      </c>
    </row>
    <row r="14" customFormat="false" ht="15" hidden="false" customHeight="true" outlineLevel="0" collapsed="false">
      <c r="A14" s="4" t="s">
        <v>636</v>
      </c>
      <c r="B14" s="4" t="s">
        <v>637</v>
      </c>
      <c r="C14" s="4" t="s">
        <v>621</v>
      </c>
      <c r="D14" s="4" t="s">
        <v>638</v>
      </c>
      <c r="E14" s="4" t="s">
        <v>86</v>
      </c>
    </row>
    <row r="15" customFormat="false" ht="15" hidden="false" customHeight="true" outlineLevel="0" collapsed="false">
      <c r="A15" s="15" t="s">
        <v>639</v>
      </c>
      <c r="B15" s="15" t="s">
        <v>640</v>
      </c>
      <c r="C15" s="15"/>
      <c r="D15" s="15" t="s">
        <v>641</v>
      </c>
      <c r="E15" s="15"/>
    </row>
    <row r="16" customFormat="false" ht="15" hidden="false" customHeight="true" outlineLevel="0" collapsed="false">
      <c r="A16" s="15" t="s">
        <v>642</v>
      </c>
      <c r="B16" s="15" t="s">
        <v>643</v>
      </c>
      <c r="C16" s="15"/>
      <c r="D16" s="15" t="s">
        <v>641</v>
      </c>
      <c r="E16" s="15"/>
    </row>
    <row r="17" customFormat="false" ht="15" hidden="false" customHeight="true" outlineLevel="0" collapsed="false">
      <c r="A17" s="15" t="s">
        <v>644</v>
      </c>
      <c r="B17" s="15" t="s">
        <v>645</v>
      </c>
      <c r="C17" s="15"/>
      <c r="D17" s="15" t="s">
        <v>641</v>
      </c>
      <c r="E17" s="15"/>
    </row>
    <row r="18" customFormat="false" ht="15" hidden="false" customHeight="true" outlineLevel="0" collapsed="false">
      <c r="A18" s="15" t="s">
        <v>646</v>
      </c>
      <c r="B18" s="15" t="s">
        <v>647</v>
      </c>
      <c r="C18" s="15"/>
      <c r="D18" s="15" t="s">
        <v>641</v>
      </c>
      <c r="E18" s="15"/>
    </row>
    <row r="19" customFormat="false" ht="15" hidden="false" customHeight="true" outlineLevel="0" collapsed="false">
      <c r="A19" s="15" t="s">
        <v>648</v>
      </c>
      <c r="B19" s="15" t="s">
        <v>649</v>
      </c>
      <c r="C19" s="15"/>
      <c r="D19" s="15" t="s">
        <v>641</v>
      </c>
      <c r="E19" s="15"/>
    </row>
    <row r="20" customFormat="false" ht="15" hidden="false" customHeight="true" outlineLevel="0" collapsed="false">
      <c r="A20" s="16" t="s">
        <v>650</v>
      </c>
      <c r="B20" s="16" t="s">
        <v>651</v>
      </c>
      <c r="C20" s="16"/>
      <c r="D20" s="16" t="s">
        <v>652</v>
      </c>
      <c r="E20" s="16"/>
    </row>
    <row r="21" customFormat="false" ht="15" hidden="false" customHeight="true" outlineLevel="0" collapsed="false">
      <c r="A21" s="16" t="s">
        <v>653</v>
      </c>
      <c r="B21" s="16" t="s">
        <v>654</v>
      </c>
      <c r="C21" s="16"/>
      <c r="D21" s="16" t="s">
        <v>655</v>
      </c>
      <c r="E21" s="16"/>
    </row>
    <row r="22" customFormat="false" ht="15" hidden="false" customHeight="true" outlineLevel="0" collapsed="false">
      <c r="A22" s="16" t="s">
        <v>656</v>
      </c>
      <c r="B22" s="16" t="s">
        <v>657</v>
      </c>
      <c r="C22" s="16"/>
      <c r="D22" s="16" t="s">
        <v>655</v>
      </c>
      <c r="E22" s="16"/>
    </row>
    <row r="23" customFormat="false" ht="15" hidden="false" customHeight="true" outlineLevel="0" collapsed="false">
      <c r="A23" s="15" t="s">
        <v>658</v>
      </c>
      <c r="B23" s="15" t="s">
        <v>659</v>
      </c>
      <c r="C23" s="15"/>
      <c r="D23" s="15" t="s">
        <v>641</v>
      </c>
      <c r="E23" s="15"/>
    </row>
    <row r="24" customFormat="false" ht="15" hidden="false" customHeight="true" outlineLevel="0" collapsed="false">
      <c r="A24" s="15" t="s">
        <v>660</v>
      </c>
      <c r="B24" s="15" t="s">
        <v>661</v>
      </c>
      <c r="C24" s="15"/>
      <c r="D24" s="15" t="s">
        <v>641</v>
      </c>
      <c r="E24" s="15"/>
    </row>
    <row r="25" customFormat="false" ht="15" hidden="false" customHeight="true" outlineLevel="0" collapsed="false">
      <c r="A25" s="17" t="s">
        <v>662</v>
      </c>
      <c r="B25" s="17" t="s">
        <v>663</v>
      </c>
      <c r="C25" s="17" t="s">
        <v>545</v>
      </c>
      <c r="D25" s="17" t="s">
        <v>664</v>
      </c>
      <c r="E25" s="17"/>
    </row>
    <row r="26" customFormat="false" ht="15" hidden="false" customHeight="true" outlineLevel="0" collapsed="false">
      <c r="A26" s="17" t="s">
        <v>665</v>
      </c>
      <c r="B26" s="17" t="s">
        <v>666</v>
      </c>
      <c r="C26" s="17" t="s">
        <v>545</v>
      </c>
      <c r="D26" s="17" t="s">
        <v>664</v>
      </c>
      <c r="E26" s="17"/>
    </row>
    <row r="27" customFormat="false" ht="15" hidden="false" customHeight="true" outlineLevel="0" collapsed="false">
      <c r="A27" s="17" t="s">
        <v>667</v>
      </c>
      <c r="B27" s="17" t="s">
        <v>668</v>
      </c>
      <c r="C27" s="17" t="s">
        <v>545</v>
      </c>
      <c r="D27" s="17" t="s">
        <v>664</v>
      </c>
      <c r="E27" s="17"/>
    </row>
    <row r="28" customFormat="false" ht="15" hidden="false" customHeight="true" outlineLevel="0" collapsed="false">
      <c r="A28" s="17" t="s">
        <v>669</v>
      </c>
      <c r="B28" s="17" t="s">
        <v>670</v>
      </c>
      <c r="C28" s="17" t="s">
        <v>545</v>
      </c>
      <c r="D28" s="17" t="s">
        <v>664</v>
      </c>
      <c r="E28" s="17"/>
    </row>
    <row r="29" customFormat="false" ht="15" hidden="false" customHeight="true" outlineLevel="0" collapsed="false">
      <c r="A29" s="17" t="s">
        <v>671</v>
      </c>
      <c r="B29" s="17" t="s">
        <v>672</v>
      </c>
      <c r="C29" s="17" t="s">
        <v>545</v>
      </c>
      <c r="D29" s="17" t="s">
        <v>664</v>
      </c>
      <c r="E29" s="17"/>
    </row>
    <row r="30" customFormat="false" ht="15" hidden="false" customHeight="true" outlineLevel="0" collapsed="false">
      <c r="A30" s="17" t="s">
        <v>673</v>
      </c>
      <c r="B30" s="17" t="s">
        <v>674</v>
      </c>
      <c r="C30" s="17" t="s">
        <v>545</v>
      </c>
      <c r="D30" s="17" t="s">
        <v>664</v>
      </c>
      <c r="E30" s="17"/>
    </row>
    <row r="31" customFormat="false" ht="15" hidden="false" customHeight="true" outlineLevel="0" collapsed="false">
      <c r="A31" s="17" t="s">
        <v>675</v>
      </c>
      <c r="B31" s="17" t="s">
        <v>676</v>
      </c>
      <c r="C31" s="17" t="s">
        <v>545</v>
      </c>
      <c r="D31" s="17" t="s">
        <v>664</v>
      </c>
      <c r="E31" s="17"/>
    </row>
    <row r="32" customFormat="false" ht="15" hidden="false" customHeight="true" outlineLevel="0" collapsed="false">
      <c r="A32" s="17" t="s">
        <v>677</v>
      </c>
      <c r="B32" s="17" t="s">
        <v>678</v>
      </c>
      <c r="C32" s="17" t="s">
        <v>545</v>
      </c>
      <c r="D32" s="17" t="s">
        <v>664</v>
      </c>
      <c r="E32" s="17"/>
    </row>
    <row r="33" customFormat="false" ht="15" hidden="false" customHeight="true" outlineLevel="0" collapsed="false">
      <c r="A33" s="17" t="s">
        <v>679</v>
      </c>
      <c r="B33" s="17" t="s">
        <v>680</v>
      </c>
      <c r="C33" s="17" t="s">
        <v>545</v>
      </c>
      <c r="D33" s="17" t="s">
        <v>664</v>
      </c>
      <c r="E33" s="17"/>
    </row>
    <row r="34" customFormat="false" ht="15" hidden="false" customHeight="true" outlineLevel="0" collapsed="false">
      <c r="A34" s="17" t="s">
        <v>681</v>
      </c>
      <c r="B34" s="17" t="s">
        <v>682</v>
      </c>
      <c r="C34" s="17" t="s">
        <v>545</v>
      </c>
      <c r="D34" s="17" t="s">
        <v>664</v>
      </c>
      <c r="E34" s="17"/>
    </row>
    <row r="35" customFormat="false" ht="15" hidden="false" customHeight="true" outlineLevel="0" collapsed="false">
      <c r="A35" s="17" t="s">
        <v>683</v>
      </c>
      <c r="B35" s="17" t="s">
        <v>684</v>
      </c>
      <c r="C35" s="17" t="s">
        <v>545</v>
      </c>
      <c r="D35" s="17" t="s">
        <v>664</v>
      </c>
      <c r="E35" s="17"/>
    </row>
    <row r="36" customFormat="false" ht="15" hidden="false" customHeight="true" outlineLevel="0" collapsed="false">
      <c r="A36" s="17" t="s">
        <v>685</v>
      </c>
      <c r="B36" s="17" t="s">
        <v>686</v>
      </c>
      <c r="C36" s="17" t="s">
        <v>545</v>
      </c>
      <c r="D36" s="17" t="s">
        <v>664</v>
      </c>
      <c r="E36" s="17"/>
    </row>
    <row r="37" customFormat="false" ht="15" hidden="false" customHeight="true" outlineLevel="0" collapsed="false">
      <c r="A37" s="15" t="s">
        <v>687</v>
      </c>
      <c r="B37" s="15" t="s">
        <v>688</v>
      </c>
      <c r="C37" s="15"/>
      <c r="D37" s="15" t="s">
        <v>641</v>
      </c>
      <c r="E37" s="15"/>
    </row>
    <row r="38" customFormat="false" ht="15" hidden="false" customHeight="true" outlineLevel="0" collapsed="false">
      <c r="A38" s="15" t="s">
        <v>689</v>
      </c>
      <c r="B38" s="15" t="s">
        <v>690</v>
      </c>
      <c r="C38" s="15"/>
      <c r="D38" s="15" t="s">
        <v>641</v>
      </c>
      <c r="E38" s="15"/>
    </row>
    <row r="39" customFormat="false" ht="15" hidden="false" customHeight="true" outlineLevel="0" collapsed="false">
      <c r="A39" s="15" t="s">
        <v>691</v>
      </c>
      <c r="B39" s="15" t="s">
        <v>692</v>
      </c>
      <c r="C39" s="15"/>
      <c r="D39" s="15" t="s">
        <v>641</v>
      </c>
      <c r="E39" s="15"/>
    </row>
    <row r="40" customFormat="false" ht="15" hidden="false" customHeight="true" outlineLevel="0" collapsed="false">
      <c r="A40" s="15" t="s">
        <v>693</v>
      </c>
      <c r="B40" s="15" t="s">
        <v>694</v>
      </c>
      <c r="C40" s="15"/>
      <c r="D40" s="15" t="s">
        <v>641</v>
      </c>
      <c r="E40" s="15"/>
    </row>
    <row r="41" customFormat="false" ht="15" hidden="false" customHeight="true" outlineLevel="0" collapsed="false">
      <c r="A41" s="17" t="s">
        <v>695</v>
      </c>
      <c r="B41" s="17" t="s">
        <v>696</v>
      </c>
      <c r="C41" s="17" t="s">
        <v>630</v>
      </c>
      <c r="D41" s="17" t="s">
        <v>664</v>
      </c>
      <c r="E41" s="17"/>
    </row>
    <row r="42" customFormat="false" ht="15" hidden="false" customHeight="true" outlineLevel="0" collapsed="false">
      <c r="A42" s="17" t="s">
        <v>697</v>
      </c>
      <c r="B42" s="17" t="s">
        <v>698</v>
      </c>
      <c r="C42" s="17" t="s">
        <v>630</v>
      </c>
      <c r="D42" s="17" t="s">
        <v>664</v>
      </c>
      <c r="E42" s="17"/>
    </row>
    <row r="43" customFormat="false" ht="15" hidden="false" customHeight="true" outlineLevel="0" collapsed="false">
      <c r="A43" s="17" t="s">
        <v>699</v>
      </c>
      <c r="B43" s="17" t="s">
        <v>700</v>
      </c>
      <c r="C43" s="17" t="s">
        <v>630</v>
      </c>
      <c r="D43" s="17" t="s">
        <v>664</v>
      </c>
      <c r="E43" s="17"/>
    </row>
    <row r="44" customFormat="false" ht="15" hidden="false" customHeight="true" outlineLevel="0" collapsed="false">
      <c r="A44" s="17" t="s">
        <v>701</v>
      </c>
      <c r="B44" s="17" t="s">
        <v>702</v>
      </c>
      <c r="C44" s="17" t="s">
        <v>630</v>
      </c>
      <c r="D44" s="17" t="s">
        <v>664</v>
      </c>
      <c r="E44" s="17"/>
    </row>
    <row r="45" customFormat="false" ht="15" hidden="false" customHeight="true" outlineLevel="0" collapsed="false">
      <c r="A45" s="17" t="s">
        <v>703</v>
      </c>
      <c r="B45" s="17" t="s">
        <v>704</v>
      </c>
      <c r="C45" s="17" t="s">
        <v>630</v>
      </c>
      <c r="D45" s="17" t="s">
        <v>664</v>
      </c>
      <c r="E45" s="17"/>
    </row>
    <row r="46" customFormat="false" ht="15" hidden="false" customHeight="true" outlineLevel="0" collapsed="false">
      <c r="A46" s="17" t="s">
        <v>705</v>
      </c>
      <c r="B46" s="17" t="s">
        <v>706</v>
      </c>
      <c r="C46" s="17" t="s">
        <v>630</v>
      </c>
      <c r="D46" s="17" t="s">
        <v>664</v>
      </c>
      <c r="E46" s="17"/>
    </row>
    <row r="47" customFormat="false" ht="15" hidden="false" customHeight="true" outlineLevel="0" collapsed="false">
      <c r="A47" s="17" t="s">
        <v>707</v>
      </c>
      <c r="B47" s="17" t="s">
        <v>708</v>
      </c>
      <c r="C47" s="17" t="s">
        <v>630</v>
      </c>
      <c r="D47" s="17" t="s">
        <v>664</v>
      </c>
      <c r="E47" s="17"/>
    </row>
    <row r="48" customFormat="false" ht="15" hidden="false" customHeight="true" outlineLevel="0" collapsed="false">
      <c r="A48" s="17" t="s">
        <v>709</v>
      </c>
      <c r="B48" s="17" t="s">
        <v>710</v>
      </c>
      <c r="C48" s="17" t="s">
        <v>630</v>
      </c>
      <c r="D48" s="17" t="s">
        <v>664</v>
      </c>
      <c r="E48" s="17"/>
    </row>
    <row r="49" customFormat="false" ht="15" hidden="false" customHeight="true" outlineLevel="0" collapsed="false">
      <c r="A49" s="17" t="s">
        <v>711</v>
      </c>
      <c r="B49" s="17" t="s">
        <v>712</v>
      </c>
      <c r="C49" s="17" t="s">
        <v>630</v>
      </c>
      <c r="D49" s="17" t="s">
        <v>664</v>
      </c>
      <c r="E49" s="17"/>
    </row>
    <row r="50" customFormat="false" ht="15" hidden="false" customHeight="true" outlineLevel="0" collapsed="false">
      <c r="A50" s="17" t="s">
        <v>713</v>
      </c>
      <c r="B50" s="17" t="s">
        <v>714</v>
      </c>
      <c r="C50" s="17" t="s">
        <v>630</v>
      </c>
      <c r="D50" s="17" t="s">
        <v>664</v>
      </c>
      <c r="E50" s="17"/>
    </row>
    <row r="51" customFormat="false" ht="15" hidden="false" customHeight="true" outlineLevel="0" collapsed="false">
      <c r="A51" s="17" t="s">
        <v>715</v>
      </c>
      <c r="B51" s="17" t="s">
        <v>716</v>
      </c>
      <c r="C51" s="17" t="s">
        <v>630</v>
      </c>
      <c r="D51" s="17" t="s">
        <v>664</v>
      </c>
      <c r="E51" s="17"/>
    </row>
    <row r="52" customFormat="false" ht="15" hidden="false" customHeight="true" outlineLevel="0" collapsed="false">
      <c r="A52" s="17" t="s">
        <v>717</v>
      </c>
      <c r="B52" s="17" t="s">
        <v>718</v>
      </c>
      <c r="C52" s="17" t="s">
        <v>630</v>
      </c>
      <c r="D52" s="17" t="s">
        <v>664</v>
      </c>
      <c r="E52" s="17"/>
    </row>
    <row r="53" customFormat="false" ht="15" hidden="false" customHeight="true" outlineLevel="0" collapsed="false">
      <c r="A53" s="17" t="s">
        <v>719</v>
      </c>
      <c r="B53" s="17" t="s">
        <v>720</v>
      </c>
      <c r="C53" s="17" t="s">
        <v>630</v>
      </c>
      <c r="D53" s="17" t="s">
        <v>664</v>
      </c>
      <c r="E53" s="17"/>
    </row>
    <row r="54" customFormat="false" ht="15" hidden="false" customHeight="true" outlineLevel="0" collapsed="false">
      <c r="A54" s="17" t="s">
        <v>721</v>
      </c>
      <c r="B54" s="17" t="s">
        <v>722</v>
      </c>
      <c r="C54" s="17" t="s">
        <v>630</v>
      </c>
      <c r="D54" s="17" t="s">
        <v>664</v>
      </c>
      <c r="E54" s="17"/>
    </row>
    <row r="55" customFormat="false" ht="15" hidden="false" customHeight="true" outlineLevel="0" collapsed="false">
      <c r="A55" s="16" t="s">
        <v>723</v>
      </c>
      <c r="B55" s="16" t="s">
        <v>724</v>
      </c>
      <c r="C55" s="16" t="s">
        <v>630</v>
      </c>
      <c r="D55" s="16" t="s">
        <v>725</v>
      </c>
      <c r="E55" s="16"/>
    </row>
    <row r="56" customFormat="false" ht="15" hidden="false" customHeight="true" outlineLevel="0" collapsed="false">
      <c r="A56" s="16" t="s">
        <v>726</v>
      </c>
      <c r="B56" s="16" t="s">
        <v>727</v>
      </c>
      <c r="C56" s="16" t="s">
        <v>630</v>
      </c>
      <c r="D56" s="16" t="s">
        <v>652</v>
      </c>
      <c r="E56" s="16"/>
    </row>
    <row r="57" customFormat="false" ht="15" hidden="false" customHeight="true" outlineLevel="0" collapsed="false">
      <c r="A57" s="16" t="s">
        <v>728</v>
      </c>
      <c r="B57" s="16" t="s">
        <v>729</v>
      </c>
      <c r="C57" s="16" t="s">
        <v>630</v>
      </c>
      <c r="D57" s="16" t="s">
        <v>652</v>
      </c>
      <c r="E57" s="16"/>
    </row>
    <row r="58" customFormat="false" ht="15" hidden="false" customHeight="true" outlineLevel="0" collapsed="false">
      <c r="A58" s="16" t="s">
        <v>730</v>
      </c>
      <c r="B58" s="16" t="s">
        <v>731</v>
      </c>
      <c r="C58" s="16" t="s">
        <v>630</v>
      </c>
      <c r="D58" s="16" t="s">
        <v>652</v>
      </c>
      <c r="E58" s="16"/>
    </row>
    <row r="59" customFormat="false" ht="15" hidden="false" customHeight="true" outlineLevel="0" collapsed="false">
      <c r="A59" s="16" t="s">
        <v>732</v>
      </c>
      <c r="B59" s="16" t="s">
        <v>733</v>
      </c>
      <c r="C59" s="16" t="s">
        <v>630</v>
      </c>
      <c r="D59" s="16" t="s">
        <v>734</v>
      </c>
      <c r="E59" s="16"/>
    </row>
    <row r="60" customFormat="false" ht="15" hidden="false" customHeight="true" outlineLevel="0" collapsed="false">
      <c r="A60" s="17" t="s">
        <v>735</v>
      </c>
      <c r="B60" s="17" t="s">
        <v>736</v>
      </c>
      <c r="C60" s="17" t="s">
        <v>630</v>
      </c>
      <c r="D60" s="17" t="s">
        <v>664</v>
      </c>
      <c r="E60" s="17"/>
    </row>
    <row r="61" customFormat="false" ht="15" hidden="false" customHeight="true" outlineLevel="0" collapsed="false">
      <c r="A61" s="17" t="s">
        <v>737</v>
      </c>
      <c r="B61" s="17" t="s">
        <v>738</v>
      </c>
      <c r="C61" s="17" t="s">
        <v>626</v>
      </c>
      <c r="D61" s="17" t="s">
        <v>664</v>
      </c>
      <c r="E61" s="17"/>
    </row>
    <row r="62" customFormat="false" ht="15" hidden="false" customHeight="true" outlineLevel="0" collapsed="false">
      <c r="A62" s="17" t="s">
        <v>739</v>
      </c>
      <c r="B62" s="17" t="s">
        <v>740</v>
      </c>
      <c r="C62" s="17" t="s">
        <v>626</v>
      </c>
      <c r="D62" s="17" t="s">
        <v>664</v>
      </c>
      <c r="E62" s="17"/>
    </row>
    <row r="63" customFormat="false" ht="15" hidden="false" customHeight="true" outlineLevel="0" collapsed="false">
      <c r="A63" s="17" t="s">
        <v>741</v>
      </c>
      <c r="B63" s="17" t="s">
        <v>742</v>
      </c>
      <c r="C63" s="17" t="s">
        <v>626</v>
      </c>
      <c r="D63" s="17" t="s">
        <v>664</v>
      </c>
      <c r="E63" s="17"/>
    </row>
    <row r="64" customFormat="false" ht="15" hidden="false" customHeight="true" outlineLevel="0" collapsed="false">
      <c r="A64" s="17" t="s">
        <v>743</v>
      </c>
      <c r="B64" s="17" t="s">
        <v>744</v>
      </c>
      <c r="C64" s="17" t="s">
        <v>626</v>
      </c>
      <c r="D64" s="17" t="s">
        <v>664</v>
      </c>
      <c r="E64" s="17"/>
    </row>
    <row r="65" customFormat="false" ht="15" hidden="false" customHeight="true" outlineLevel="0" collapsed="false">
      <c r="A65" s="17" t="s">
        <v>745</v>
      </c>
      <c r="B65" s="17" t="s">
        <v>746</v>
      </c>
      <c r="C65" s="17" t="s">
        <v>626</v>
      </c>
      <c r="D65" s="17" t="s">
        <v>664</v>
      </c>
      <c r="E65" s="17"/>
    </row>
    <row r="66" customFormat="false" ht="15" hidden="false" customHeight="true" outlineLevel="0" collapsed="false">
      <c r="A66" s="17" t="s">
        <v>747</v>
      </c>
      <c r="B66" s="17" t="s">
        <v>748</v>
      </c>
      <c r="C66" s="17" t="s">
        <v>626</v>
      </c>
      <c r="D66" s="17" t="s">
        <v>664</v>
      </c>
      <c r="E66" s="17"/>
    </row>
    <row r="67" customFormat="false" ht="15" hidden="false" customHeight="true" outlineLevel="0" collapsed="false">
      <c r="A67" s="17" t="s">
        <v>749</v>
      </c>
      <c r="B67" s="17" t="s">
        <v>750</v>
      </c>
      <c r="C67" s="17" t="s">
        <v>626</v>
      </c>
      <c r="D67" s="17" t="s">
        <v>664</v>
      </c>
      <c r="E67" s="17"/>
    </row>
    <row r="68" customFormat="false" ht="15" hidden="false" customHeight="true" outlineLevel="0" collapsed="false">
      <c r="A68" s="17" t="s">
        <v>751</v>
      </c>
      <c r="B68" s="17" t="s">
        <v>752</v>
      </c>
      <c r="C68" s="17" t="s">
        <v>626</v>
      </c>
      <c r="D68" s="17" t="s">
        <v>664</v>
      </c>
      <c r="E68" s="17"/>
    </row>
    <row r="69" customFormat="false" ht="15" hidden="false" customHeight="true" outlineLevel="0" collapsed="false">
      <c r="A69" s="17" t="s">
        <v>753</v>
      </c>
      <c r="B69" s="17" t="s">
        <v>754</v>
      </c>
      <c r="C69" s="17" t="s">
        <v>626</v>
      </c>
      <c r="D69" s="17" t="s">
        <v>664</v>
      </c>
      <c r="E69" s="17"/>
    </row>
    <row r="70" customFormat="false" ht="15" hidden="false" customHeight="true" outlineLevel="0" collapsed="false">
      <c r="A70" s="17" t="s">
        <v>755</v>
      </c>
      <c r="B70" s="17" t="s">
        <v>756</v>
      </c>
      <c r="C70" s="17" t="s">
        <v>626</v>
      </c>
      <c r="D70" s="17" t="s">
        <v>664</v>
      </c>
      <c r="E70" s="17"/>
    </row>
    <row r="71" customFormat="false" ht="15" hidden="false" customHeight="true" outlineLevel="0" collapsed="false">
      <c r="A71" s="16" t="s">
        <v>757</v>
      </c>
      <c r="B71" s="16" t="s">
        <v>758</v>
      </c>
      <c r="C71" s="16" t="s">
        <v>628</v>
      </c>
      <c r="D71" s="16" t="s">
        <v>759</v>
      </c>
      <c r="E71" s="16"/>
    </row>
    <row r="72" customFormat="false" ht="15" hidden="false" customHeight="true" outlineLevel="0" collapsed="false">
      <c r="A72" s="17" t="s">
        <v>760</v>
      </c>
      <c r="B72" s="17" t="s">
        <v>761</v>
      </c>
      <c r="C72" s="17" t="s">
        <v>628</v>
      </c>
      <c r="D72" s="17" t="s">
        <v>664</v>
      </c>
      <c r="E72" s="17"/>
    </row>
    <row r="73" customFormat="false" ht="15" hidden="false" customHeight="true" outlineLevel="0" collapsed="false">
      <c r="A73" s="17" t="s">
        <v>762</v>
      </c>
      <c r="B73" s="17" t="s">
        <v>763</v>
      </c>
      <c r="C73" s="17" t="s">
        <v>628</v>
      </c>
      <c r="D73" s="17" t="s">
        <v>664</v>
      </c>
      <c r="E73" s="17"/>
    </row>
    <row r="74" customFormat="false" ht="15" hidden="false" customHeight="true" outlineLevel="0" collapsed="false">
      <c r="A74" s="16" t="s">
        <v>764</v>
      </c>
      <c r="B74" s="16" t="s">
        <v>765</v>
      </c>
      <c r="C74" s="16" t="s">
        <v>628</v>
      </c>
      <c r="D74" s="16" t="s">
        <v>759</v>
      </c>
      <c r="E74" s="16"/>
    </row>
    <row r="75" customFormat="false" ht="15" hidden="false" customHeight="true" outlineLevel="0" collapsed="false">
      <c r="A75" s="16" t="s">
        <v>766</v>
      </c>
      <c r="B75" s="16" t="s">
        <v>767</v>
      </c>
      <c r="C75" s="16" t="s">
        <v>628</v>
      </c>
      <c r="D75" s="16" t="s">
        <v>759</v>
      </c>
      <c r="E75" s="16"/>
    </row>
    <row r="76" customFormat="false" ht="15" hidden="false" customHeight="true" outlineLevel="0" collapsed="false">
      <c r="A76" s="16" t="s">
        <v>768</v>
      </c>
      <c r="B76" s="16" t="s">
        <v>769</v>
      </c>
      <c r="C76" s="16" t="s">
        <v>628</v>
      </c>
      <c r="D76" s="16" t="s">
        <v>759</v>
      </c>
      <c r="E76" s="16"/>
    </row>
    <row r="77" customFormat="false" ht="15" hidden="false" customHeight="true" outlineLevel="0" collapsed="false">
      <c r="A77" s="17" t="s">
        <v>770</v>
      </c>
      <c r="B77" s="17" t="s">
        <v>771</v>
      </c>
      <c r="C77" s="17" t="s">
        <v>628</v>
      </c>
      <c r="D77" s="17" t="s">
        <v>664</v>
      </c>
      <c r="E77" s="17"/>
    </row>
    <row r="78" customFormat="false" ht="15" hidden="false" customHeight="true" outlineLevel="0" collapsed="false">
      <c r="A78" s="16" t="s">
        <v>772</v>
      </c>
      <c r="B78" s="16" t="s">
        <v>773</v>
      </c>
      <c r="C78" s="16" t="s">
        <v>628</v>
      </c>
      <c r="D78" s="16" t="s">
        <v>759</v>
      </c>
      <c r="E78" s="16"/>
    </row>
    <row r="79" customFormat="false" ht="15" hidden="false" customHeight="true" outlineLevel="0" collapsed="false">
      <c r="A79" s="17" t="s">
        <v>774</v>
      </c>
      <c r="B79" s="17" t="s">
        <v>775</v>
      </c>
      <c r="C79" s="17" t="s">
        <v>628</v>
      </c>
      <c r="D79" s="17" t="s">
        <v>664</v>
      </c>
      <c r="E79" s="17"/>
    </row>
    <row r="80" customFormat="false" ht="15" hidden="false" customHeight="true" outlineLevel="0" collapsed="false">
      <c r="A80" s="17" t="s">
        <v>776</v>
      </c>
      <c r="B80" s="17" t="s">
        <v>777</v>
      </c>
      <c r="C80" s="17" t="s">
        <v>628</v>
      </c>
      <c r="D80" s="17" t="s">
        <v>664</v>
      </c>
      <c r="E80" s="17"/>
    </row>
    <row r="81" customFormat="false" ht="15" hidden="false" customHeight="true" outlineLevel="0" collapsed="false">
      <c r="A81" s="17" t="s">
        <v>778</v>
      </c>
      <c r="B81" s="17" t="s">
        <v>779</v>
      </c>
      <c r="C81" s="17" t="s">
        <v>628</v>
      </c>
      <c r="D81" s="17" t="s">
        <v>664</v>
      </c>
      <c r="E81" s="17"/>
    </row>
    <row r="82" customFormat="false" ht="15" hidden="false" customHeight="true" outlineLevel="0" collapsed="false">
      <c r="A82" s="15" t="s">
        <v>780</v>
      </c>
      <c r="B82" s="15" t="s">
        <v>659</v>
      </c>
      <c r="C82" s="15"/>
      <c r="D82" s="15" t="s">
        <v>641</v>
      </c>
      <c r="E82" s="15"/>
    </row>
    <row r="83" customFormat="false" ht="15" hidden="false" customHeight="true" outlineLevel="0" collapsed="false">
      <c r="A83" s="16" t="s">
        <v>781</v>
      </c>
      <c r="B83" s="16" t="s">
        <v>782</v>
      </c>
      <c r="C83" s="16"/>
      <c r="D83" s="16" t="s">
        <v>652</v>
      </c>
      <c r="E83" s="16"/>
    </row>
    <row r="84" customFormat="false" ht="15" hidden="false" customHeight="true" outlineLevel="0" collapsed="false">
      <c r="A84" s="17" t="s">
        <v>783</v>
      </c>
      <c r="B84" s="17" t="s">
        <v>784</v>
      </c>
      <c r="C84" s="17" t="s">
        <v>624</v>
      </c>
      <c r="D84" s="17" t="s">
        <v>664</v>
      </c>
      <c r="E84" s="17"/>
    </row>
    <row r="85" customFormat="false" ht="15" hidden="false" customHeight="true" outlineLevel="0" collapsed="false">
      <c r="A85" s="17" t="s">
        <v>785</v>
      </c>
      <c r="B85" s="17" t="s">
        <v>786</v>
      </c>
      <c r="C85" s="17" t="s">
        <v>624</v>
      </c>
      <c r="D85" s="17" t="s">
        <v>664</v>
      </c>
      <c r="E85" s="17"/>
    </row>
    <row r="86" customFormat="false" ht="15" hidden="false" customHeight="true" outlineLevel="0" collapsed="false">
      <c r="A86" s="17" t="s">
        <v>787</v>
      </c>
      <c r="B86" s="17" t="s">
        <v>788</v>
      </c>
      <c r="C86" s="17" t="s">
        <v>624</v>
      </c>
      <c r="D86" s="17" t="s">
        <v>664</v>
      </c>
      <c r="E86" s="17"/>
    </row>
    <row r="87" customFormat="false" ht="15" hidden="false" customHeight="true" outlineLevel="0" collapsed="false">
      <c r="A87" s="17" t="s">
        <v>789</v>
      </c>
      <c r="B87" s="17" t="s">
        <v>790</v>
      </c>
      <c r="C87" s="17" t="s">
        <v>624</v>
      </c>
      <c r="D87" s="17" t="s">
        <v>664</v>
      </c>
      <c r="E87" s="17"/>
    </row>
    <row r="88" customFormat="false" ht="15" hidden="false" customHeight="true" outlineLevel="0" collapsed="false">
      <c r="A88" s="17" t="s">
        <v>791</v>
      </c>
      <c r="B88" s="17" t="s">
        <v>792</v>
      </c>
      <c r="C88" s="17" t="s">
        <v>624</v>
      </c>
      <c r="D88" s="17" t="s">
        <v>664</v>
      </c>
      <c r="E88" s="17"/>
    </row>
    <row r="89" customFormat="false" ht="15" hidden="false" customHeight="true" outlineLevel="0" collapsed="false">
      <c r="A89" s="17" t="s">
        <v>793</v>
      </c>
      <c r="B89" s="17" t="s">
        <v>794</v>
      </c>
      <c r="C89" s="17" t="s">
        <v>624</v>
      </c>
      <c r="D89" s="17" t="s">
        <v>664</v>
      </c>
      <c r="E89" s="17"/>
    </row>
    <row r="90" customFormat="false" ht="15" hidden="false" customHeight="true" outlineLevel="0" collapsed="false">
      <c r="A90" s="17" t="s">
        <v>795</v>
      </c>
      <c r="B90" s="17" t="s">
        <v>796</v>
      </c>
      <c r="C90" s="17" t="s">
        <v>624</v>
      </c>
      <c r="D90" s="17" t="s">
        <v>664</v>
      </c>
      <c r="E90" s="17"/>
    </row>
    <row r="91" customFormat="false" ht="15" hidden="false" customHeight="true" outlineLevel="0" collapsed="false">
      <c r="A91" s="17" t="s">
        <v>797</v>
      </c>
      <c r="B91" s="17" t="s">
        <v>798</v>
      </c>
      <c r="C91" s="17" t="s">
        <v>624</v>
      </c>
      <c r="D91" s="17" t="s">
        <v>664</v>
      </c>
      <c r="E91" s="17"/>
    </row>
    <row r="92" customFormat="false" ht="15" hidden="false" customHeight="true" outlineLevel="0" collapsed="false">
      <c r="A92" s="17" t="s">
        <v>799</v>
      </c>
      <c r="B92" s="17" t="s">
        <v>800</v>
      </c>
      <c r="C92" s="17" t="s">
        <v>624</v>
      </c>
      <c r="D92" s="17" t="s">
        <v>664</v>
      </c>
      <c r="E92" s="17"/>
    </row>
    <row r="93" customFormat="false" ht="15" hidden="false" customHeight="true" outlineLevel="0" collapsed="false">
      <c r="A93" s="17" t="s">
        <v>801</v>
      </c>
      <c r="B93" s="17" t="s">
        <v>802</v>
      </c>
      <c r="C93" s="17" t="s">
        <v>624</v>
      </c>
      <c r="D93" s="17" t="s">
        <v>664</v>
      </c>
      <c r="E93" s="17"/>
    </row>
    <row r="94" customFormat="false" ht="15" hidden="false" customHeight="true" outlineLevel="0" collapsed="false">
      <c r="A94" s="17" t="s">
        <v>803</v>
      </c>
      <c r="B94" s="17" t="s">
        <v>804</v>
      </c>
      <c r="C94" s="17" t="s">
        <v>624</v>
      </c>
      <c r="D94" s="17" t="s">
        <v>664</v>
      </c>
      <c r="E94" s="17"/>
    </row>
    <row r="95" customFormat="false" ht="15" hidden="false" customHeight="true" outlineLevel="0" collapsed="false">
      <c r="A95" s="17" t="s">
        <v>805</v>
      </c>
      <c r="B95" s="17" t="s">
        <v>806</v>
      </c>
      <c r="C95" s="17" t="s">
        <v>624</v>
      </c>
      <c r="D95" s="17" t="s">
        <v>664</v>
      </c>
      <c r="E95" s="17"/>
    </row>
    <row r="96" customFormat="false" ht="15" hidden="false" customHeight="true" outlineLevel="0" collapsed="false">
      <c r="A96" s="17" t="s">
        <v>807</v>
      </c>
      <c r="B96" s="17" t="s">
        <v>808</v>
      </c>
      <c r="C96" s="17" t="s">
        <v>624</v>
      </c>
      <c r="D96" s="17" t="s">
        <v>664</v>
      </c>
      <c r="E96" s="17"/>
    </row>
    <row r="97" customFormat="false" ht="15" hidden="false" customHeight="true" outlineLevel="0" collapsed="false">
      <c r="A97" s="17" t="s">
        <v>809</v>
      </c>
      <c r="B97" s="17" t="s">
        <v>810</v>
      </c>
      <c r="C97" s="17" t="s">
        <v>624</v>
      </c>
      <c r="D97" s="17" t="s">
        <v>664</v>
      </c>
      <c r="E97" s="17"/>
    </row>
    <row r="98" customFormat="false" ht="15" hidden="false" customHeight="true" outlineLevel="0" collapsed="false">
      <c r="A98" s="17" t="s">
        <v>811</v>
      </c>
      <c r="B98" s="17" t="s">
        <v>812</v>
      </c>
      <c r="C98" s="17" t="s">
        <v>624</v>
      </c>
      <c r="D98" s="17" t="s">
        <v>664</v>
      </c>
      <c r="E98" s="17"/>
    </row>
    <row r="99" customFormat="false" ht="15" hidden="false" customHeight="true" outlineLevel="0" collapsed="false">
      <c r="A99" s="17" t="s">
        <v>813</v>
      </c>
      <c r="B99" s="17" t="s">
        <v>814</v>
      </c>
      <c r="C99" s="17" t="s">
        <v>624</v>
      </c>
      <c r="D99" s="17" t="s">
        <v>664</v>
      </c>
      <c r="E99" s="17"/>
    </row>
    <row r="100" customFormat="false" ht="15" hidden="false" customHeight="true" outlineLevel="0" collapsed="false">
      <c r="A100" s="17" t="s">
        <v>815</v>
      </c>
      <c r="B100" s="17" t="s">
        <v>816</v>
      </c>
      <c r="C100" s="17" t="s">
        <v>624</v>
      </c>
      <c r="D100" s="17" t="s">
        <v>664</v>
      </c>
      <c r="E100" s="17"/>
    </row>
    <row r="101" customFormat="false" ht="15" hidden="false" customHeight="true" outlineLevel="0" collapsed="false">
      <c r="A101" s="16" t="s">
        <v>817</v>
      </c>
      <c r="B101" s="16" t="s">
        <v>818</v>
      </c>
      <c r="C101" s="16" t="s">
        <v>624</v>
      </c>
      <c r="D101" s="16" t="s">
        <v>652</v>
      </c>
      <c r="E101" s="16"/>
    </row>
    <row r="102" customFormat="false" ht="15" hidden="false" customHeight="true" outlineLevel="0" collapsed="false">
      <c r="A102" s="16" t="s">
        <v>819</v>
      </c>
      <c r="B102" s="16" t="s">
        <v>820</v>
      </c>
      <c r="C102" s="16"/>
      <c r="D102" s="16" t="s">
        <v>652</v>
      </c>
      <c r="E102" s="16"/>
    </row>
    <row r="103" customFormat="false" ht="15" hidden="false" customHeight="true" outlineLevel="0" collapsed="false">
      <c r="A103" s="16" t="s">
        <v>821</v>
      </c>
      <c r="B103" s="16" t="s">
        <v>822</v>
      </c>
      <c r="C103" s="16"/>
      <c r="D103" s="16" t="s">
        <v>652</v>
      </c>
      <c r="E10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.75" hidden="false" customHeight="true" outlineLevel="0" collapsed="false">
      <c r="A1" s="18" t="s">
        <v>823</v>
      </c>
    </row>
    <row r="2" customFormat="false" ht="15" hidden="false" customHeight="true" outlineLevel="0" collapsed="false">
      <c r="A2" s="19"/>
    </row>
    <row r="3" customFormat="false" ht="15" hidden="false" customHeight="true" outlineLevel="0" collapsed="false">
      <c r="A3" s="20" t="s">
        <v>824</v>
      </c>
    </row>
    <row r="4" customFormat="false" ht="15" hidden="false" customHeight="true" outlineLevel="0" collapsed="false">
      <c r="A4" s="19" t="s">
        <v>825</v>
      </c>
    </row>
    <row r="5" customFormat="false" ht="15" hidden="false" customHeight="true" outlineLevel="0" collapsed="false">
      <c r="A5" s="19" t="s">
        <v>826</v>
      </c>
    </row>
    <row r="6" customFormat="false" ht="15" hidden="false" customHeight="true" outlineLevel="0" collapsed="false">
      <c r="A6" s="19" t="s">
        <v>827</v>
      </c>
    </row>
    <row r="7" customFormat="false" ht="15" hidden="false" customHeight="true" outlineLevel="0" collapsed="false">
      <c r="A7" s="19"/>
    </row>
    <row r="8" customFormat="false" ht="15" hidden="false" customHeight="true" outlineLevel="0" collapsed="false">
      <c r="A8" s="20" t="s">
        <v>828</v>
      </c>
    </row>
    <row r="9" customFormat="false" ht="15" hidden="false" customHeight="true" outlineLevel="0" collapsed="false">
      <c r="A9" s="19" t="s">
        <v>829</v>
      </c>
    </row>
    <row r="10" customFormat="false" ht="15" hidden="false" customHeight="true" outlineLevel="0" collapsed="false">
      <c r="A10" s="19" t="s">
        <v>830</v>
      </c>
    </row>
    <row r="11" customFormat="false" ht="15" hidden="false" customHeight="true" outlineLevel="0" collapsed="false">
      <c r="A11" s="19" t="s">
        <v>831</v>
      </c>
    </row>
    <row r="12" customFormat="false" ht="15" hidden="false" customHeight="true" outlineLevel="0" collapsed="false">
      <c r="A12" s="19" t="s">
        <v>832</v>
      </c>
    </row>
    <row r="13" customFormat="false" ht="15" hidden="false" customHeight="true" outlineLevel="0" collapsed="false">
      <c r="A13" s="19" t="s">
        <v>833</v>
      </c>
    </row>
    <row r="14" customFormat="false" ht="15" hidden="false" customHeight="true" outlineLevel="0" collapsed="false">
      <c r="A14" s="19" t="s">
        <v>834</v>
      </c>
    </row>
    <row r="15" customFormat="false" ht="15" hidden="false" customHeight="true" outlineLevel="0" collapsed="false">
      <c r="A15" s="19" t="s">
        <v>835</v>
      </c>
    </row>
    <row r="16" customFormat="false" ht="15" hidden="false" customHeight="true" outlineLevel="0" collapsed="false">
      <c r="A16" s="19"/>
    </row>
    <row r="17" customFormat="false" ht="15" hidden="false" customHeight="true" outlineLevel="0" collapsed="false">
      <c r="A17" s="20" t="s">
        <v>836</v>
      </c>
    </row>
    <row r="18" customFormat="false" ht="15" hidden="false" customHeight="true" outlineLevel="0" collapsed="false">
      <c r="A18" s="19" t="s">
        <v>837</v>
      </c>
    </row>
    <row r="19" customFormat="false" ht="23.25" hidden="false" customHeight="true" outlineLevel="0" collapsed="false">
      <c r="A19" s="19" t="s">
        <v>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2026-10-13T14:21:22Z</dcterms:created>
  <dc:creator>openpyxl</dc:creator>
  <dc:description/>
  <dc:language>en-US</dc:language>
  <cp:lastModifiedBy/>
  <dcterms:modified xsi:type="dcterms:W3CDTF">2026-10-15T16:35:38Z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